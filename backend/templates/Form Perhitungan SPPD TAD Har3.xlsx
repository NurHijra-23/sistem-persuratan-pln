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uh Ardi" sheetId="1" r:id="rId1"/>
    <sheet name="Anugrah" sheetId="4" r:id="rId2"/>
    <sheet name="Adlim" sheetId="5" r:id="rId3"/>
    <sheet name="Akram" sheetId="2" r:id="rId4"/>
    <sheet name="Operator OS" sheetId="3" r:id="rId5"/>
  </sheets>
  <definedNames>
    <definedName name="_xlnm.Print_Area" localSheetId="2">Adlim!$A$1:$M$303</definedName>
    <definedName name="_xlnm.Print_Area" localSheetId="3">Akram!$A$1:$M$535</definedName>
    <definedName name="_xlnm.Print_Area" localSheetId="1">Anugrah!$A$1:$M$528</definedName>
    <definedName name="_xlnm.Print_Area" localSheetId="0">'Muh Ardi'!$A$1:$M$608</definedName>
    <definedName name="_xlnm.Print_Area" localSheetId="4">'Operator OS'!$A$1:$M$228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<sst xmlns="http://schemas.openxmlformats.org/spreadsheetml/2006/main" count="3649" uniqueCount="126">
  <si>
    <t/>
  </si>
  <si>
    <t>BIAYA PERJALANAN DINAS DALAM / LUAR NEGERI</t>
  </si>
  <si>
    <t xml:space="preserve">SPPD Nomor                   </t>
  </si>
  <si>
    <t>:</t>
  </si>
  <si>
    <t>Tanggal</t>
  </si>
  <si>
    <t>s/d</t>
  </si>
  <si>
    <t>Tempat tujuan</t>
  </si>
  <si>
    <t>Parepare - polmas</t>
  </si>
  <si>
    <t>Maksud Perjalanan Dinas</t>
  </si>
  <si>
    <t>Cui dan pelepasan benda asing rute Parepare-polmas</t>
  </si>
  <si>
    <t xml:space="preserve"> </t>
  </si>
  <si>
    <t>Lama perjalanan dinas</t>
  </si>
  <si>
    <t>3 (Tiga) Hari</t>
  </si>
  <si>
    <t>1 (Satu) Hari</t>
  </si>
  <si>
    <t>2 (Dua) Hari</t>
  </si>
  <si>
    <t>4 (Empat) Hari</t>
  </si>
  <si>
    <t>N a m a</t>
  </si>
  <si>
    <t>MUH. ARDI</t>
  </si>
  <si>
    <t>Jabatan</t>
  </si>
  <si>
    <t>Tenaga Pemeliharaan ULTG Parepare</t>
  </si>
  <si>
    <t xml:space="preserve"> NO.</t>
  </si>
  <si>
    <t>RINCIAN BIAYA PERJALANAN DINAS</t>
  </si>
  <si>
    <t>JUMLAH</t>
  </si>
  <si>
    <t>KET</t>
  </si>
  <si>
    <t>I.</t>
  </si>
  <si>
    <t xml:space="preserve"> DALAM NEGERI :</t>
  </si>
  <si>
    <t>Transportasi</t>
  </si>
  <si>
    <t xml:space="preserve"> a. Bus / Kereta api/kapal laut/pesawat terbang/Sewa Rental Mobil </t>
  </si>
  <si>
    <t>x Rp.</t>
  </si>
  <si>
    <t>Rp.</t>
  </si>
  <si>
    <t xml:space="preserve"> b. Dari rumah ke Bandara/Stasiun/pelabuhan </t>
  </si>
  <si>
    <t xml:space="preserve"> c. Air Port Taxi</t>
  </si>
  <si>
    <t xml:space="preserve">AKOMODASI PD UMUM / DATASERING BULAN PERTAMA </t>
  </si>
  <si>
    <t xml:space="preserve"> - KONSUMSI</t>
  </si>
  <si>
    <t>hari x</t>
  </si>
  <si>
    <t xml:space="preserve"> - CUCI PAKAIAN</t>
  </si>
  <si>
    <t xml:space="preserve"> - PENGINAPAN</t>
  </si>
  <si>
    <t xml:space="preserve">AKOMODASI PD UMUM / DATASERING BULAN BERIKUTNYA </t>
  </si>
  <si>
    <t xml:space="preserve">  </t>
  </si>
  <si>
    <t>AKOMODASI PD UMUM PERAWATAN KESEHATAN / PERPANJANGAN</t>
  </si>
  <si>
    <t xml:space="preserve"> - Pegawai (penderita)</t>
  </si>
  <si>
    <t xml:space="preserve"> - Keluarga (penderita)</t>
  </si>
  <si>
    <t xml:space="preserve"> - Pengantar (kel) Perjalanan Dinas</t>
  </si>
  <si>
    <t>BANTUAN PINDAH (max 14 hari)</t>
  </si>
  <si>
    <t xml:space="preserve"> - Istri/Suami Pegawai</t>
  </si>
  <si>
    <t xml:space="preserve"> - Anak Pegawai</t>
  </si>
  <si>
    <t>BANTUAN PENGEPAKAN</t>
  </si>
  <si>
    <t>M3</t>
  </si>
  <si>
    <t xml:space="preserve">   J U M L A H   I</t>
  </si>
  <si>
    <t>II.</t>
  </si>
  <si>
    <t xml:space="preserve"> LUAR NEGERI</t>
  </si>
  <si>
    <t>FASILITAS TRANSPORTASI</t>
  </si>
  <si>
    <t xml:space="preserve"> -Pesawat PP</t>
  </si>
  <si>
    <t xml:space="preserve"> -Dari rumah ke Bandara/Terminal/Pelabuhan PP</t>
  </si>
  <si>
    <t xml:space="preserve"> -Airport Tax</t>
  </si>
  <si>
    <t>FASILITAS HARIAN &amp; PENGINAPAN PD BIASA/DIKLAT</t>
  </si>
  <si>
    <t>- Lumpsum 100 %</t>
  </si>
  <si>
    <t>=</t>
  </si>
  <si>
    <t>.</t>
  </si>
  <si>
    <t>U$</t>
  </si>
  <si>
    <t>= Rp.....................</t>
  </si>
  <si>
    <t xml:space="preserve">  (KURS 1US$ = Rp. . . . . . . .</t>
  </si>
  <si>
    <t>FASILITAS HARIAN &amp; PENGINAPAN PD perawatan kesehatan/perpanjangan</t>
  </si>
  <si>
    <t>FASILITAS BAJU HANGAT</t>
  </si>
  <si>
    <t xml:space="preserve">   J U M L A H II</t>
  </si>
  <si>
    <t>III.</t>
  </si>
  <si>
    <t xml:space="preserve"> TOTAL SUB. I  +  II </t>
  </si>
  <si>
    <t xml:space="preserve"> Telah dibayarkan oleh unit pengirim, Sejumlah :</t>
  </si>
  <si>
    <t>Telah menerima dari unit pengirim uang sejumlah</t>
  </si>
  <si>
    <t>Keuangan Region Sulawesi 2</t>
  </si>
  <si>
    <t>Pelaksana Pemeliharaan GI</t>
  </si>
  <si>
    <t>…………………………..</t>
  </si>
  <si>
    <t>Balusu - Pangkep</t>
  </si>
  <si>
    <t>Perbaikan korosi kaki tower arah Balusu - Pangkep</t>
  </si>
  <si>
    <t xml:space="preserve">Parepare - Kab. Barru  </t>
  </si>
  <si>
    <t xml:space="preserve">tindak lanjut anomali rembesan minyak CT line 1-2 balusu - Pangkep Gi barru </t>
  </si>
  <si>
    <t>Parepare - Kab.Barru</t>
  </si>
  <si>
    <t>mengantar kabel 20 kv dari ultg sidrap ke GI Barru</t>
  </si>
  <si>
    <t>Supervisi penggantian dan pengujian fungsi persiapan energize kubikel GI Barru</t>
  </si>
  <si>
    <t>Parepare - Balusu</t>
  </si>
  <si>
    <t xml:space="preserve">Pengukuran dan perbaikan pentanahan </t>
  </si>
  <si>
    <t>Parepare - Pangkep</t>
  </si>
  <si>
    <t xml:space="preserve">Perbantuan pembersihan isolator MTU  bay tonasa #2  70 kv di Gi Pangkep </t>
  </si>
  <si>
    <t>5 (Lima) Hari</t>
  </si>
  <si>
    <t>Balusu Pangkep</t>
  </si>
  <si>
    <t>Pengambilan benda asing TL Balusu Pangkep dan Sosialisasi ke Kantor Kelurahan</t>
  </si>
  <si>
    <t>ANUGRAH</t>
  </si>
  <si>
    <t>Parepare - Polmas</t>
  </si>
  <si>
    <t>CUI dan Pelepasan benda Asing rute Parepare Polmas</t>
  </si>
  <si>
    <t>Scanning row mengunakan drone lidar rute Balusu Pangkep</t>
  </si>
  <si>
    <t xml:space="preserve">PAREPARE -  Kab. pinrang </t>
  </si>
  <si>
    <t>Pengawasan Dismalting Kabel ADSS Dan melakukan Thermovisi jamper joint - midspant Joint inc Polmas</t>
  </si>
  <si>
    <t xml:space="preserve">PAREPARE - Kab. Polmas </t>
  </si>
  <si>
    <t>PAREPARE - Barru</t>
  </si>
  <si>
    <t xml:space="preserve"> tindaklanjut anomali rembesan minyak CT Line 1 dan Line 2 Balusu - Pangkep Gi barru  </t>
  </si>
  <si>
    <t xml:space="preserve">   Mengambil material dan alat kerja di GI Barru</t>
  </si>
  <si>
    <t xml:space="preserve">  Pengawasan pelepasan kabel ADSS</t>
  </si>
  <si>
    <t>MUHAMMAD ADLIM</t>
  </si>
  <si>
    <t>Pelepasan benda asing rute Parepare-Polmas</t>
  </si>
  <si>
    <t>MUH. ADLIM JANIB AMNUR</t>
  </si>
  <si>
    <t>Parepare - Barru</t>
  </si>
  <si>
    <t>Scanning row menggunakan drone lidar rute Balusu Pangkep</t>
  </si>
  <si>
    <t>Barru - Pangkep</t>
  </si>
  <si>
    <t>Final cek setelah pemasangan MRG Dan Pengambilan benda asing di tower</t>
  </si>
  <si>
    <t>AKRAM ASSIDIK</t>
  </si>
  <si>
    <t xml:space="preserve"> Barru-Pangkep</t>
  </si>
  <si>
    <t>Thermovisi di tower rute Barru Pangkep</t>
  </si>
  <si>
    <t>Parepare - Pinrang</t>
  </si>
  <si>
    <t>Thermovisi dan Pengukuran Medan Magnet di tower rute Tuppu Bakaru</t>
  </si>
  <si>
    <t xml:space="preserve"> Sosialisasi bahaya listrik di SDN 139 Duampanua</t>
  </si>
  <si>
    <t xml:space="preserve">Parepare - Barru </t>
  </si>
  <si>
    <t>Pengawasan Pemasangan MRG di tower rute barru pangkep</t>
  </si>
  <si>
    <t>tindaklanjut anomali rembesan minyak CT Line 1 dan Line 2 Balusu - Pangkep Gi barru dan Mengambil material dan alat kerja di GI Barru</t>
  </si>
  <si>
    <t>Bakaru (Pinrang) - Parepare</t>
  </si>
  <si>
    <t>Sosialisasi SOP GI Tersebar</t>
  </si>
  <si>
    <t>FAIZAL AMIRUDDIN</t>
  </si>
  <si>
    <t>Operator Gardu Induk GI Bakaru</t>
  </si>
  <si>
    <t>Operator GI Bakaru</t>
  </si>
  <si>
    <t>TAHDIAR</t>
  </si>
  <si>
    <t>Operator Gardu Induk GI Barru</t>
  </si>
  <si>
    <t>Operator GI Barru</t>
  </si>
  <si>
    <t>MAKALE - SIDRAP</t>
  </si>
  <si>
    <t>Sosialisasi SOP Operator Gardu Induk</t>
  </si>
  <si>
    <t>2 (dua) Hari</t>
  </si>
  <si>
    <t>AGUSTINUS</t>
  </si>
  <si>
    <t>Operator Gardu Induk GI Makale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</si>
</sst>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_-;\-* #,##0_-;_-* &quot;-&quot;??_-;_-@_-"/>
    <numFmt numFmtId="177" formatCode="[$-421]dd\ mmmm\ yyyy;@"/>
  </numFmts>
  <fonts count="42"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Trebuchet MS"/>
      <charset val="134"/>
    </font>
    <font>
      <sz val="10"/>
      <name val="Trebuchet MS"/>
      <charset val="134"/>
    </font>
    <font>
      <b/>
      <sz val="12"/>
      <name val="Verdana"/>
      <charset val="134"/>
    </font>
    <font>
      <u/>
      <sz val="12"/>
      <name val="Trebuchet MS"/>
      <charset val="134"/>
    </font>
    <font>
      <i/>
      <sz val="10"/>
      <name val="Trebuchet MS"/>
      <charset val="134"/>
    </font>
    <font>
      <sz val="8"/>
      <name val="Calibri"/>
      <charset val="134"/>
      <scheme val="minor"/>
    </font>
    <font>
      <sz val="12"/>
      <name val="Calibri"/>
      <charset val="134"/>
      <scheme val="minor"/>
    </font>
    <font>
      <sz val="10"/>
      <name val="Calibri"/>
      <charset val="134"/>
      <scheme val="minor"/>
    </font>
    <font>
      <u/>
      <sz val="12"/>
      <name val="Calibri"/>
      <charset val="134"/>
      <scheme val="minor"/>
    </font>
    <font>
      <b/>
      <u/>
      <sz val="12"/>
      <name val="Arial"/>
      <charset val="134"/>
    </font>
    <font>
      <sz val="12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2"/>
      <name val="Arial"/>
      <charset val="134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sz val="8"/>
      <name val="Arial"/>
      <charset val="134"/>
    </font>
    <font>
      <b/>
      <sz val="11"/>
      <name val="Arial"/>
      <charset val="134"/>
    </font>
    <font>
      <b/>
      <sz val="7"/>
      <name val="Arial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32" fillId="6" borderId="18" applyNumberFormat="0" applyAlignment="0" applyProtection="0">
      <alignment vertical="center"/>
    </xf>
    <xf numFmtId="0" fontId="33" fillId="6" borderId="17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15" fontId="13" fillId="0" borderId="0" xfId="0" applyNumberFormat="1" applyFont="1"/>
    <xf numFmtId="0" fontId="13" fillId="0" borderId="0" xfId="0" applyFont="1" applyAlignment="1">
      <alignment horizontal="center"/>
    </xf>
    <xf numFmtId="15" fontId="13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14" fillId="0" borderId="0" xfId="0" applyFont="1"/>
    <xf numFmtId="0" fontId="16" fillId="2" borderId="1" xfId="0" applyFont="1" applyFill="1" applyBorder="1"/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17" fillId="0" borderId="0" xfId="0" applyFont="1"/>
    <xf numFmtId="176" fontId="0" fillId="0" borderId="0" xfId="1" applyNumberFormat="1" applyFont="1"/>
    <xf numFmtId="176" fontId="0" fillId="0" borderId="7" xfId="1" applyNumberFormat="1" applyFont="1" applyBorder="1" applyAlignment="1"/>
    <xf numFmtId="0" fontId="17" fillId="0" borderId="5" xfId="0" applyFont="1" applyBorder="1" applyAlignment="1">
      <alignment horizontal="center"/>
    </xf>
    <xf numFmtId="9" fontId="0" fillId="0" borderId="0" xfId="0" applyNumberFormat="1"/>
    <xf numFmtId="0" fontId="18" fillId="0" borderId="5" xfId="0" applyFont="1" applyBorder="1" applyAlignment="1">
      <alignment horizontal="center"/>
    </xf>
    <xf numFmtId="176" fontId="0" fillId="0" borderId="7" xfId="1" applyNumberFormat="1" applyFont="1" applyBorder="1"/>
    <xf numFmtId="0" fontId="0" fillId="0" borderId="0" xfId="0" applyAlignment="1">
      <alignment horizontal="center"/>
    </xf>
    <xf numFmtId="176" fontId="0" fillId="0" borderId="0" xfId="1" applyNumberFormat="1" applyFont="1" applyAlignment="1">
      <alignment horizontal="left"/>
    </xf>
    <xf numFmtId="41" fontId="0" fillId="0" borderId="7" xfId="4" applyFont="1" applyBorder="1"/>
    <xf numFmtId="41" fontId="17" fillId="0" borderId="5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176" fontId="17" fillId="0" borderId="7" xfId="1" applyNumberFormat="1" applyFont="1" applyBorder="1"/>
    <xf numFmtId="0" fontId="20" fillId="0" borderId="5" xfId="0" applyFont="1" applyBorder="1" applyAlignment="1">
      <alignment horizontal="center"/>
    </xf>
    <xf numFmtId="0" fontId="0" fillId="0" borderId="8" xfId="0" applyBorder="1"/>
    <xf numFmtId="176" fontId="0" fillId="0" borderId="9" xfId="0" applyNumberFormat="1" applyBorder="1"/>
    <xf numFmtId="0" fontId="0" fillId="0" borderId="10" xfId="0" applyBorder="1"/>
    <xf numFmtId="176" fontId="17" fillId="0" borderId="11" xfId="0" applyNumberFormat="1" applyFont="1" applyBorder="1" applyAlignment="1">
      <alignment horizontal="center"/>
    </xf>
    <xf numFmtId="176" fontId="17" fillId="0" borderId="12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21" fillId="0" borderId="10" xfId="0" applyFont="1" applyBorder="1" applyAlignment="1">
      <alignment horizontal="center"/>
    </xf>
    <xf numFmtId="0" fontId="1" fillId="0" borderId="0" xfId="0" applyFont="1" applyAlignment="1">
      <alignment horizontal="left"/>
    </xf>
    <xf numFmtId="176" fontId="17" fillId="0" borderId="0" xfId="1" applyNumberFormat="1" applyFont="1"/>
    <xf numFmtId="176" fontId="16" fillId="0" borderId="0" xfId="0" applyNumberFormat="1" applyFont="1"/>
    <xf numFmtId="0" fontId="18" fillId="0" borderId="0" xfId="0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4" fillId="0" borderId="0" xfId="0" applyFont="1"/>
    <xf numFmtId="177" fontId="13" fillId="0" borderId="0" xfId="0" applyNumberFormat="1" applyFont="1"/>
    <xf numFmtId="177" fontId="13" fillId="0" borderId="0" xfId="0" applyNumberFormat="1" applyFont="1" applyAlignment="1">
      <alignment horizontal="left"/>
    </xf>
    <xf numFmtId="0" fontId="22" fillId="3" borderId="0" xfId="0" applyFont="1" applyFill="1"/>
    <xf numFmtId="0" fontId="0" fillId="3" borderId="0" xfId="0" applyFill="1"/>
    <xf numFmtId="41" fontId="0" fillId="0" borderId="0" xfId="4" applyFont="1"/>
    <xf numFmtId="41" fontId="0" fillId="0" borderId="0" xfId="0" applyNumberFormat="1"/>
    <xf numFmtId="176" fontId="0" fillId="0" borderId="0" xfId="0" applyNumberFormat="1"/>
    <xf numFmtId="176" fontId="19" fillId="0" borderId="0" xfId="0" applyNumberFormat="1" applyFont="1"/>
    <xf numFmtId="0" fontId="7" fillId="0" borderId="0" xfId="0" applyFont="1" applyAlignment="1" quotePrefix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117475</xdr:colOff>
      <xdr:row>0</xdr:row>
      <xdr:rowOff>160867</xdr:rowOff>
    </xdr:from>
    <xdr:to>
      <xdr:col>2</xdr:col>
      <xdr:colOff>656023</xdr:colOff>
      <xdr:row>2</xdr:row>
      <xdr:rowOff>95200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475" y="160655"/>
          <a:ext cx="1163320" cy="3454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951298</xdr:colOff>
      <xdr:row>77</xdr:row>
      <xdr:rowOff>167167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100" y="14119860"/>
          <a:ext cx="1156970" cy="372745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153</xdr:row>
      <xdr:rowOff>64558</xdr:rowOff>
    </xdr:from>
    <xdr:to>
      <xdr:col>2</xdr:col>
      <xdr:colOff>627448</xdr:colOff>
      <xdr:row>155</xdr:row>
      <xdr:rowOff>20058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0" y="28496260"/>
          <a:ext cx="1163320" cy="359410"/>
        </a:xfrm>
        <a:prstGeom prst="rect">
          <a:avLst/>
        </a:prstGeom>
      </xdr:spPr>
    </xdr:pic>
    <xdr:clientData/>
  </xdr:twoCellAnchor>
  <xdr:oneCellAnchor>
    <xdr:from>
      <xdr:col>0</xdr:col>
      <xdr:colOff>88900</xdr:colOff>
      <xdr:row>229</xdr:row>
      <xdr:rowOff>64558</xdr:rowOff>
    </xdr:from>
    <xdr:ext cx="1162739" cy="345580"/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0" y="42595165"/>
          <a:ext cx="1162685" cy="345440"/>
        </a:xfrm>
        <a:prstGeom prst="rect">
          <a:avLst/>
        </a:prstGeom>
      </xdr:spPr>
    </xdr:pic>
    <xdr:clientData/>
  </xdr:oneCellAnchor>
  <xdr:oneCellAnchor>
    <xdr:from>
      <xdr:col>0</xdr:col>
      <xdr:colOff>88900</xdr:colOff>
      <xdr:row>305</xdr:row>
      <xdr:rowOff>64558</xdr:rowOff>
    </xdr:from>
    <xdr:ext cx="1162739" cy="345580"/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0" y="56686450"/>
          <a:ext cx="1162685" cy="345440"/>
        </a:xfrm>
        <a:prstGeom prst="rect">
          <a:avLst/>
        </a:prstGeom>
      </xdr:spPr>
    </xdr:pic>
    <xdr:clientData/>
  </xdr:oneCellAnchor>
  <xdr:oneCellAnchor>
    <xdr:from>
      <xdr:col>0</xdr:col>
      <xdr:colOff>88900</xdr:colOff>
      <xdr:row>381</xdr:row>
      <xdr:rowOff>64558</xdr:rowOff>
    </xdr:from>
    <xdr:ext cx="1162739" cy="345580"/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0" y="70777735"/>
          <a:ext cx="1162685" cy="345440"/>
        </a:xfrm>
        <a:prstGeom prst="rect">
          <a:avLst/>
        </a:prstGeom>
      </xdr:spPr>
    </xdr:pic>
    <xdr:clientData/>
  </xdr:oneCellAnchor>
  <xdr:oneCellAnchor>
    <xdr:from>
      <xdr:col>0</xdr:col>
      <xdr:colOff>153751</xdr:colOff>
      <xdr:row>455</xdr:row>
      <xdr:rowOff>153728</xdr:rowOff>
    </xdr:from>
    <xdr:ext cx="1162739" cy="360820"/>
    <xdr:pic>
      <xdr:nvPicPr>
        <xdr:cNvPr id="9" name="Picture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84547075"/>
          <a:ext cx="1162685" cy="360680"/>
        </a:xfrm>
        <a:prstGeom prst="rect">
          <a:avLst/>
        </a:prstGeom>
      </xdr:spPr>
    </xdr:pic>
    <xdr:clientData/>
  </xdr:oneCellAnchor>
  <xdr:oneCellAnchor>
    <xdr:from>
      <xdr:col>0</xdr:col>
      <xdr:colOff>88900</xdr:colOff>
      <xdr:row>533</xdr:row>
      <xdr:rowOff>64558</xdr:rowOff>
    </xdr:from>
    <xdr:ext cx="1162739" cy="345580"/>
    <xdr:pic>
      <xdr:nvPicPr>
        <xdr:cNvPr id="10" name="Picture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0" y="98960305"/>
          <a:ext cx="1162685" cy="3454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95251</xdr:colOff>
      <xdr:row>0</xdr:row>
      <xdr:rowOff>83344</xdr:rowOff>
    </xdr:from>
    <xdr:to>
      <xdr:col>2</xdr:col>
      <xdr:colOff>640413</xdr:colOff>
      <xdr:row>2</xdr:row>
      <xdr:rowOff>30906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83185"/>
          <a:ext cx="1169670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95248</xdr:colOff>
      <xdr:row>76</xdr:row>
      <xdr:rowOff>202407</xdr:rowOff>
    </xdr:from>
    <xdr:to>
      <xdr:col>2</xdr:col>
      <xdr:colOff>640410</xdr:colOff>
      <xdr:row>78</xdr:row>
      <xdr:rowOff>149969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615" y="14323695"/>
          <a:ext cx="1170305" cy="359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137795</xdr:colOff>
      <xdr:row>152</xdr:row>
      <xdr:rowOff>121920</xdr:rowOff>
    </xdr:from>
    <xdr:to>
      <xdr:col>2</xdr:col>
      <xdr:colOff>682957</xdr:colOff>
      <xdr:row>154</xdr:row>
      <xdr:rowOff>69483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795" y="28342590"/>
          <a:ext cx="1169670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228</xdr:row>
      <xdr:rowOff>160655</xdr:rowOff>
    </xdr:from>
    <xdr:to>
      <xdr:col>2</xdr:col>
      <xdr:colOff>659130</xdr:colOff>
      <xdr:row>230</xdr:row>
      <xdr:rowOff>115570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42503090"/>
          <a:ext cx="1169670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90974</xdr:colOff>
      <xdr:row>303</xdr:row>
      <xdr:rowOff>183981</xdr:rowOff>
    </xdr:from>
    <xdr:to>
      <xdr:col>2</xdr:col>
      <xdr:colOff>635804</xdr:colOff>
      <xdr:row>305</xdr:row>
      <xdr:rowOff>138896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805" y="56388635"/>
          <a:ext cx="1169670" cy="358775"/>
        </a:xfrm>
        <a:prstGeom prst="rect">
          <a:avLst/>
        </a:prstGeom>
      </xdr:spPr>
    </xdr:pic>
    <xdr:clientData/>
  </xdr:twoCellAnchor>
  <xdr:oneCellAnchor>
    <xdr:from>
      <xdr:col>0</xdr:col>
      <xdr:colOff>122076</xdr:colOff>
      <xdr:row>379</xdr:row>
      <xdr:rowOff>145103</xdr:rowOff>
    </xdr:from>
    <xdr:ext cx="1166871" cy="344002"/>
    <xdr:pic>
      <xdr:nvPicPr>
        <xdr:cNvPr id="9" name="Picture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70418325"/>
          <a:ext cx="1166495" cy="344170"/>
        </a:xfrm>
        <a:prstGeom prst="rect">
          <a:avLst/>
        </a:prstGeom>
      </xdr:spPr>
    </xdr:pic>
    <xdr:clientData/>
  </xdr:oneCellAnchor>
  <xdr:oneCellAnchor>
    <xdr:from>
      <xdr:col>0</xdr:col>
      <xdr:colOff>67647</xdr:colOff>
      <xdr:row>454</xdr:row>
      <xdr:rowOff>114001</xdr:rowOff>
    </xdr:from>
    <xdr:ext cx="1166871" cy="344002"/>
    <xdr:pic>
      <xdr:nvPicPr>
        <xdr:cNvPr id="10" name="Picture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84227035"/>
          <a:ext cx="1167130" cy="3441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130975</xdr:colOff>
      <xdr:row>0</xdr:row>
      <xdr:rowOff>107159</xdr:rowOff>
    </xdr:from>
    <xdr:to>
      <xdr:col>2</xdr:col>
      <xdr:colOff>676137</xdr:colOff>
      <xdr:row>2</xdr:row>
      <xdr:rowOff>54721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06680"/>
          <a:ext cx="1169670" cy="359410"/>
        </a:xfrm>
        <a:prstGeom prst="rect">
          <a:avLst/>
        </a:prstGeom>
      </xdr:spPr>
    </xdr:pic>
    <xdr:clientData/>
  </xdr:twoCellAnchor>
  <xdr:twoCellAnchor editAs="oneCell">
    <xdr:from>
      <xdr:col>0</xdr:col>
      <xdr:colOff>83343</xdr:colOff>
      <xdr:row>76</xdr:row>
      <xdr:rowOff>130969</xdr:rowOff>
    </xdr:from>
    <xdr:to>
      <xdr:col>2</xdr:col>
      <xdr:colOff>628505</xdr:colOff>
      <xdr:row>78</xdr:row>
      <xdr:rowOff>78531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185" y="14252575"/>
          <a:ext cx="1169670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152</xdr:row>
      <xdr:rowOff>83344</xdr:rowOff>
    </xdr:from>
    <xdr:to>
      <xdr:col>2</xdr:col>
      <xdr:colOff>592787</xdr:colOff>
      <xdr:row>154</xdr:row>
      <xdr:rowOff>30907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28303855"/>
          <a:ext cx="1169670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229</xdr:row>
      <xdr:rowOff>130810</xdr:rowOff>
    </xdr:from>
    <xdr:to>
      <xdr:col>2</xdr:col>
      <xdr:colOff>546100</xdr:colOff>
      <xdr:row>231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42602785"/>
          <a:ext cx="1169670" cy="358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105833</xdr:colOff>
      <xdr:row>0</xdr:row>
      <xdr:rowOff>95250</xdr:rowOff>
    </xdr:from>
    <xdr:to>
      <xdr:col>2</xdr:col>
      <xdr:colOff>644381</xdr:colOff>
      <xdr:row>2</xdr:row>
      <xdr:rowOff>29583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95250"/>
          <a:ext cx="1163320" cy="34544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76</xdr:row>
      <xdr:rowOff>105833</xdr:rowOff>
    </xdr:from>
    <xdr:to>
      <xdr:col>2</xdr:col>
      <xdr:colOff>633798</xdr:colOff>
      <xdr:row>78</xdr:row>
      <xdr:rowOff>40167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14242415"/>
          <a:ext cx="1163320" cy="3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74082</xdr:colOff>
      <xdr:row>152</xdr:row>
      <xdr:rowOff>74082</xdr:rowOff>
    </xdr:from>
    <xdr:to>
      <xdr:col>2</xdr:col>
      <xdr:colOff>612630</xdr:colOff>
      <xdr:row>154</xdr:row>
      <xdr:rowOff>8415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28309570"/>
          <a:ext cx="1163320" cy="3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74082</xdr:colOff>
      <xdr:row>228</xdr:row>
      <xdr:rowOff>74082</xdr:rowOff>
    </xdr:from>
    <xdr:to>
      <xdr:col>2</xdr:col>
      <xdr:colOff>612562</xdr:colOff>
      <xdr:row>230</xdr:row>
      <xdr:rowOff>8677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42385615"/>
          <a:ext cx="1163320" cy="3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74082</xdr:colOff>
      <xdr:row>304</xdr:row>
      <xdr:rowOff>74082</xdr:rowOff>
    </xdr:from>
    <xdr:to>
      <xdr:col>2</xdr:col>
      <xdr:colOff>612562</xdr:colOff>
      <xdr:row>306</xdr:row>
      <xdr:rowOff>8677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56454040"/>
          <a:ext cx="1163320" cy="3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74082</xdr:colOff>
      <xdr:row>381</xdr:row>
      <xdr:rowOff>74082</xdr:rowOff>
    </xdr:from>
    <xdr:to>
      <xdr:col>2</xdr:col>
      <xdr:colOff>612562</xdr:colOff>
      <xdr:row>383</xdr:row>
      <xdr:rowOff>8677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70705345"/>
          <a:ext cx="1163320" cy="3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74082</xdr:colOff>
      <xdr:row>458</xdr:row>
      <xdr:rowOff>74082</xdr:rowOff>
    </xdr:from>
    <xdr:to>
      <xdr:col>2</xdr:col>
      <xdr:colOff>612562</xdr:colOff>
      <xdr:row>460</xdr:row>
      <xdr:rowOff>8677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84956650"/>
          <a:ext cx="1163320" cy="346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105834</xdr:colOff>
      <xdr:row>152</xdr:row>
      <xdr:rowOff>179917</xdr:rowOff>
    </xdr:from>
    <xdr:to>
      <xdr:col>2</xdr:col>
      <xdr:colOff>1227668</xdr:colOff>
      <xdr:row>154</xdr:row>
      <xdr:rowOff>169333</xdr:rowOff>
    </xdr:to>
    <xdr:pic>
      <xdr:nvPicPr>
        <xdr:cNvPr id="9" name="image1.png"/>
        <xdr:cNvPicPr/>
      </xdr:nvPicPr>
      <xdr:blipFill>
        <a:blip r:embed="rId1" cstate="print"/>
        <a:stretch>
          <a:fillRect/>
        </a:stretch>
      </xdr:blipFill>
      <xdr:spPr>
        <a:xfrm>
          <a:off x="105410" y="28400375"/>
          <a:ext cx="1746885" cy="400685"/>
        </a:xfrm>
        <a:prstGeom prst="rect">
          <a:avLst/>
        </a:prstGeom>
      </xdr:spPr>
    </xdr:pic>
    <xdr:clientData/>
  </xdr:twoCellAnchor>
  <xdr:twoCellAnchor editAs="oneCell">
    <xdr:from>
      <xdr:col>2</xdr:col>
      <xdr:colOff>84667</xdr:colOff>
      <xdr:row>77</xdr:row>
      <xdr:rowOff>52917</xdr:rowOff>
    </xdr:from>
    <xdr:to>
      <xdr:col>2</xdr:col>
      <xdr:colOff>1237048</xdr:colOff>
      <xdr:row>79</xdr:row>
      <xdr:rowOff>8417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9295" y="14380210"/>
          <a:ext cx="1152525" cy="359410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116417</xdr:colOff>
      <xdr:row>0</xdr:row>
      <xdr:rowOff>52917</xdr:rowOff>
    </xdr:from>
    <xdr:to>
      <xdr:col>2</xdr:col>
      <xdr:colOff>1268798</xdr:colOff>
      <xdr:row>2</xdr:row>
      <xdr:rowOff>14344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1045" y="52705"/>
          <a:ext cx="1152525" cy="372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7"/>
  <sheetViews>
    <sheetView tabSelected="1" view="pageBreakPreview" zoomScale="84" zoomScaleNormal="80" topLeftCell="A78" workbookViewId="0">
      <selection activeCell="E87" sqref="E87:M88"/>
    </sheetView>
  </sheetViews>
  <sheetFormatPr defaultColWidth="9" defaultRowHeight="14.4"/>
  <cols>
    <col min="1" max="1" width="6.11111111111111" customWidth="1"/>
    <col min="2" max="2" width="3" customWidth="1"/>
    <col min="3" max="3" width="27.5555555555556" style="1" customWidth="1"/>
    <col min="4" max="4" width="3.11111111111111" customWidth="1"/>
    <col min="5" max="5" width="20.5555555555556" customWidth="1"/>
    <col min="6" max="6" width="15.4444444444444" customWidth="1"/>
    <col min="7" max="7" width="11.8888888888889" customWidth="1"/>
    <col min="8" max="8" width="5.55555555555556" customWidth="1"/>
    <col min="9" max="9" width="15.1111111111111" customWidth="1"/>
    <col min="10" max="10" width="9.44444444444444" customWidth="1"/>
    <col min="11" max="11" width="3.88888888888889" customWidth="1"/>
    <col min="12" max="12" width="12" customWidth="1"/>
    <col min="13" max="13" width="11.6666666666667" customWidth="1"/>
    <col min="14" max="14" width="10.5555555555556" customWidth="1"/>
    <col min="15" max="15" width="12.3333333333333" customWidth="1"/>
    <col min="16" max="17" width="10.5555555555556" customWidth="1"/>
    <col min="18" max="19" width="10.3333333333333" customWidth="1"/>
    <col min="257" max="257" width="6.11111111111111" customWidth="1"/>
    <col min="258" max="258" width="3" customWidth="1"/>
    <col min="259" max="259" width="24.8888888888889" customWidth="1"/>
    <col min="260" max="260" width="3.11111111111111" customWidth="1"/>
    <col min="261" max="261" width="12.4444444444444" customWidth="1"/>
    <col min="262" max="262" width="6.11111111111111" customWidth="1"/>
    <col min="263" max="263" width="11.8888888888889" customWidth="1"/>
    <col min="264" max="264" width="5.55555555555556" customWidth="1"/>
    <col min="265" max="265" width="15.1111111111111" customWidth="1"/>
    <col min="266" max="266" width="19.6666666666667" customWidth="1"/>
    <col min="267" max="267" width="3.88888888888889" customWidth="1"/>
    <col min="268" max="268" width="12" customWidth="1"/>
    <col min="269" max="269" width="23.8888888888889" customWidth="1"/>
    <col min="270" max="270" width="10.5555555555556" customWidth="1"/>
    <col min="271" max="271" width="12.3333333333333" customWidth="1"/>
    <col min="272" max="273" width="10.5555555555556" customWidth="1"/>
    <col min="274" max="275" width="10.3333333333333" customWidth="1"/>
    <col min="513" max="513" width="6.11111111111111" customWidth="1"/>
    <col min="514" max="514" width="3" customWidth="1"/>
    <col min="515" max="515" width="24.8888888888889" customWidth="1"/>
    <col min="516" max="516" width="3.11111111111111" customWidth="1"/>
    <col min="517" max="517" width="12.4444444444444" customWidth="1"/>
    <col min="518" max="518" width="6.11111111111111" customWidth="1"/>
    <col min="519" max="519" width="11.8888888888889" customWidth="1"/>
    <col min="520" max="520" width="5.55555555555556" customWidth="1"/>
    <col min="521" max="521" width="15.1111111111111" customWidth="1"/>
    <col min="522" max="522" width="19.6666666666667" customWidth="1"/>
    <col min="523" max="523" width="3.88888888888889" customWidth="1"/>
    <col min="524" max="524" width="12" customWidth="1"/>
    <col min="525" max="525" width="23.8888888888889" customWidth="1"/>
    <col min="526" max="526" width="10.5555555555556" customWidth="1"/>
    <col min="527" max="527" width="12.3333333333333" customWidth="1"/>
    <col min="528" max="529" width="10.5555555555556" customWidth="1"/>
    <col min="530" max="531" width="10.3333333333333" customWidth="1"/>
    <col min="769" max="769" width="6.11111111111111" customWidth="1"/>
    <col min="770" max="770" width="3" customWidth="1"/>
    <col min="771" max="771" width="24.8888888888889" customWidth="1"/>
    <col min="772" max="772" width="3.11111111111111" customWidth="1"/>
    <col min="773" max="773" width="12.4444444444444" customWidth="1"/>
    <col min="774" max="774" width="6.11111111111111" customWidth="1"/>
    <col min="775" max="775" width="11.8888888888889" customWidth="1"/>
    <col min="776" max="776" width="5.55555555555556" customWidth="1"/>
    <col min="777" max="777" width="15.1111111111111" customWidth="1"/>
    <col min="778" max="778" width="19.6666666666667" customWidth="1"/>
    <col min="779" max="779" width="3.88888888888889" customWidth="1"/>
    <col min="780" max="780" width="12" customWidth="1"/>
    <col min="781" max="781" width="23.8888888888889" customWidth="1"/>
    <col min="782" max="782" width="10.5555555555556" customWidth="1"/>
    <col min="783" max="783" width="12.3333333333333" customWidth="1"/>
    <col min="784" max="785" width="10.5555555555556" customWidth="1"/>
    <col min="786" max="787" width="10.3333333333333" customWidth="1"/>
    <col min="1025" max="1025" width="6.11111111111111" customWidth="1"/>
    <col min="1026" max="1026" width="3" customWidth="1"/>
    <col min="1027" max="1027" width="24.8888888888889" customWidth="1"/>
    <col min="1028" max="1028" width="3.11111111111111" customWidth="1"/>
    <col min="1029" max="1029" width="12.4444444444444" customWidth="1"/>
    <col min="1030" max="1030" width="6.11111111111111" customWidth="1"/>
    <col min="1031" max="1031" width="11.8888888888889" customWidth="1"/>
    <col min="1032" max="1032" width="5.55555555555556" customWidth="1"/>
    <col min="1033" max="1033" width="15.1111111111111" customWidth="1"/>
    <col min="1034" max="1034" width="19.6666666666667" customWidth="1"/>
    <col min="1035" max="1035" width="3.88888888888889" customWidth="1"/>
    <col min="1036" max="1036" width="12" customWidth="1"/>
    <col min="1037" max="1037" width="23.8888888888889" customWidth="1"/>
    <col min="1038" max="1038" width="10.5555555555556" customWidth="1"/>
    <col min="1039" max="1039" width="12.3333333333333" customWidth="1"/>
    <col min="1040" max="1041" width="10.5555555555556" customWidth="1"/>
    <col min="1042" max="1043" width="10.3333333333333" customWidth="1"/>
    <col min="1281" max="1281" width="6.11111111111111" customWidth="1"/>
    <col min="1282" max="1282" width="3" customWidth="1"/>
    <col min="1283" max="1283" width="24.8888888888889" customWidth="1"/>
    <col min="1284" max="1284" width="3.11111111111111" customWidth="1"/>
    <col min="1285" max="1285" width="12.4444444444444" customWidth="1"/>
    <col min="1286" max="1286" width="6.11111111111111" customWidth="1"/>
    <col min="1287" max="1287" width="11.8888888888889" customWidth="1"/>
    <col min="1288" max="1288" width="5.55555555555556" customWidth="1"/>
    <col min="1289" max="1289" width="15.1111111111111" customWidth="1"/>
    <col min="1290" max="1290" width="19.6666666666667" customWidth="1"/>
    <col min="1291" max="1291" width="3.88888888888889" customWidth="1"/>
    <col min="1292" max="1292" width="12" customWidth="1"/>
    <col min="1293" max="1293" width="23.8888888888889" customWidth="1"/>
    <col min="1294" max="1294" width="10.5555555555556" customWidth="1"/>
    <col min="1295" max="1295" width="12.3333333333333" customWidth="1"/>
    <col min="1296" max="1297" width="10.5555555555556" customWidth="1"/>
    <col min="1298" max="1299" width="10.3333333333333" customWidth="1"/>
    <col min="1537" max="1537" width="6.11111111111111" customWidth="1"/>
    <col min="1538" max="1538" width="3" customWidth="1"/>
    <col min="1539" max="1539" width="24.8888888888889" customWidth="1"/>
    <col min="1540" max="1540" width="3.11111111111111" customWidth="1"/>
    <col min="1541" max="1541" width="12.4444444444444" customWidth="1"/>
    <col min="1542" max="1542" width="6.11111111111111" customWidth="1"/>
    <col min="1543" max="1543" width="11.8888888888889" customWidth="1"/>
    <col min="1544" max="1544" width="5.55555555555556" customWidth="1"/>
    <col min="1545" max="1545" width="15.1111111111111" customWidth="1"/>
    <col min="1546" max="1546" width="19.6666666666667" customWidth="1"/>
    <col min="1547" max="1547" width="3.88888888888889" customWidth="1"/>
    <col min="1548" max="1548" width="12" customWidth="1"/>
    <col min="1549" max="1549" width="23.8888888888889" customWidth="1"/>
    <col min="1550" max="1550" width="10.5555555555556" customWidth="1"/>
    <col min="1551" max="1551" width="12.3333333333333" customWidth="1"/>
    <col min="1552" max="1553" width="10.5555555555556" customWidth="1"/>
    <col min="1554" max="1555" width="10.3333333333333" customWidth="1"/>
    <col min="1793" max="1793" width="6.11111111111111" customWidth="1"/>
    <col min="1794" max="1794" width="3" customWidth="1"/>
    <col min="1795" max="1795" width="24.8888888888889" customWidth="1"/>
    <col min="1796" max="1796" width="3.11111111111111" customWidth="1"/>
    <col min="1797" max="1797" width="12.4444444444444" customWidth="1"/>
    <col min="1798" max="1798" width="6.11111111111111" customWidth="1"/>
    <col min="1799" max="1799" width="11.8888888888889" customWidth="1"/>
    <col min="1800" max="1800" width="5.55555555555556" customWidth="1"/>
    <col min="1801" max="1801" width="15.1111111111111" customWidth="1"/>
    <col min="1802" max="1802" width="19.6666666666667" customWidth="1"/>
    <col min="1803" max="1803" width="3.88888888888889" customWidth="1"/>
    <col min="1804" max="1804" width="12" customWidth="1"/>
    <col min="1805" max="1805" width="23.8888888888889" customWidth="1"/>
    <col min="1806" max="1806" width="10.5555555555556" customWidth="1"/>
    <col min="1807" max="1807" width="12.3333333333333" customWidth="1"/>
    <col min="1808" max="1809" width="10.5555555555556" customWidth="1"/>
    <col min="1810" max="1811" width="10.3333333333333" customWidth="1"/>
    <col min="2049" max="2049" width="6.11111111111111" customWidth="1"/>
    <col min="2050" max="2050" width="3" customWidth="1"/>
    <col min="2051" max="2051" width="24.8888888888889" customWidth="1"/>
    <col min="2052" max="2052" width="3.11111111111111" customWidth="1"/>
    <col min="2053" max="2053" width="12.4444444444444" customWidth="1"/>
    <col min="2054" max="2054" width="6.11111111111111" customWidth="1"/>
    <col min="2055" max="2055" width="11.8888888888889" customWidth="1"/>
    <col min="2056" max="2056" width="5.55555555555556" customWidth="1"/>
    <col min="2057" max="2057" width="15.1111111111111" customWidth="1"/>
    <col min="2058" max="2058" width="19.6666666666667" customWidth="1"/>
    <col min="2059" max="2059" width="3.88888888888889" customWidth="1"/>
    <col min="2060" max="2060" width="12" customWidth="1"/>
    <col min="2061" max="2061" width="23.8888888888889" customWidth="1"/>
    <col min="2062" max="2062" width="10.5555555555556" customWidth="1"/>
    <col min="2063" max="2063" width="12.3333333333333" customWidth="1"/>
    <col min="2064" max="2065" width="10.5555555555556" customWidth="1"/>
    <col min="2066" max="2067" width="10.3333333333333" customWidth="1"/>
    <col min="2305" max="2305" width="6.11111111111111" customWidth="1"/>
    <col min="2306" max="2306" width="3" customWidth="1"/>
    <col min="2307" max="2307" width="24.8888888888889" customWidth="1"/>
    <col min="2308" max="2308" width="3.11111111111111" customWidth="1"/>
    <col min="2309" max="2309" width="12.4444444444444" customWidth="1"/>
    <col min="2310" max="2310" width="6.11111111111111" customWidth="1"/>
    <col min="2311" max="2311" width="11.8888888888889" customWidth="1"/>
    <col min="2312" max="2312" width="5.55555555555556" customWidth="1"/>
    <col min="2313" max="2313" width="15.1111111111111" customWidth="1"/>
    <col min="2314" max="2314" width="19.6666666666667" customWidth="1"/>
    <col min="2315" max="2315" width="3.88888888888889" customWidth="1"/>
    <col min="2316" max="2316" width="12" customWidth="1"/>
    <col min="2317" max="2317" width="23.8888888888889" customWidth="1"/>
    <col min="2318" max="2318" width="10.5555555555556" customWidth="1"/>
    <col min="2319" max="2319" width="12.3333333333333" customWidth="1"/>
    <col min="2320" max="2321" width="10.5555555555556" customWidth="1"/>
    <col min="2322" max="2323" width="10.3333333333333" customWidth="1"/>
    <col min="2561" max="2561" width="6.11111111111111" customWidth="1"/>
    <col min="2562" max="2562" width="3" customWidth="1"/>
    <col min="2563" max="2563" width="24.8888888888889" customWidth="1"/>
    <col min="2564" max="2564" width="3.11111111111111" customWidth="1"/>
    <col min="2565" max="2565" width="12.4444444444444" customWidth="1"/>
    <col min="2566" max="2566" width="6.11111111111111" customWidth="1"/>
    <col min="2567" max="2567" width="11.8888888888889" customWidth="1"/>
    <col min="2568" max="2568" width="5.55555555555556" customWidth="1"/>
    <col min="2569" max="2569" width="15.1111111111111" customWidth="1"/>
    <col min="2570" max="2570" width="19.6666666666667" customWidth="1"/>
    <col min="2571" max="2571" width="3.88888888888889" customWidth="1"/>
    <col min="2572" max="2572" width="12" customWidth="1"/>
    <col min="2573" max="2573" width="23.8888888888889" customWidth="1"/>
    <col min="2574" max="2574" width="10.5555555555556" customWidth="1"/>
    <col min="2575" max="2575" width="12.3333333333333" customWidth="1"/>
    <col min="2576" max="2577" width="10.5555555555556" customWidth="1"/>
    <col min="2578" max="2579" width="10.3333333333333" customWidth="1"/>
    <col min="2817" max="2817" width="6.11111111111111" customWidth="1"/>
    <col min="2818" max="2818" width="3" customWidth="1"/>
    <col min="2819" max="2819" width="24.8888888888889" customWidth="1"/>
    <col min="2820" max="2820" width="3.11111111111111" customWidth="1"/>
    <col min="2821" max="2821" width="12.4444444444444" customWidth="1"/>
    <col min="2822" max="2822" width="6.11111111111111" customWidth="1"/>
    <col min="2823" max="2823" width="11.8888888888889" customWidth="1"/>
    <col min="2824" max="2824" width="5.55555555555556" customWidth="1"/>
    <col min="2825" max="2825" width="15.1111111111111" customWidth="1"/>
    <col min="2826" max="2826" width="19.6666666666667" customWidth="1"/>
    <col min="2827" max="2827" width="3.88888888888889" customWidth="1"/>
    <col min="2828" max="2828" width="12" customWidth="1"/>
    <col min="2829" max="2829" width="23.8888888888889" customWidth="1"/>
    <col min="2830" max="2830" width="10.5555555555556" customWidth="1"/>
    <col min="2831" max="2831" width="12.3333333333333" customWidth="1"/>
    <col min="2832" max="2833" width="10.5555555555556" customWidth="1"/>
    <col min="2834" max="2835" width="10.3333333333333" customWidth="1"/>
    <col min="3073" max="3073" width="6.11111111111111" customWidth="1"/>
    <col min="3074" max="3074" width="3" customWidth="1"/>
    <col min="3075" max="3075" width="24.8888888888889" customWidth="1"/>
    <col min="3076" max="3076" width="3.11111111111111" customWidth="1"/>
    <col min="3077" max="3077" width="12.4444444444444" customWidth="1"/>
    <col min="3078" max="3078" width="6.11111111111111" customWidth="1"/>
    <col min="3079" max="3079" width="11.8888888888889" customWidth="1"/>
    <col min="3080" max="3080" width="5.55555555555556" customWidth="1"/>
    <col min="3081" max="3081" width="15.1111111111111" customWidth="1"/>
    <col min="3082" max="3082" width="19.6666666666667" customWidth="1"/>
    <col min="3083" max="3083" width="3.88888888888889" customWidth="1"/>
    <col min="3084" max="3084" width="12" customWidth="1"/>
    <col min="3085" max="3085" width="23.8888888888889" customWidth="1"/>
    <col min="3086" max="3086" width="10.5555555555556" customWidth="1"/>
    <col min="3087" max="3087" width="12.3333333333333" customWidth="1"/>
    <col min="3088" max="3089" width="10.5555555555556" customWidth="1"/>
    <col min="3090" max="3091" width="10.3333333333333" customWidth="1"/>
    <col min="3329" max="3329" width="6.11111111111111" customWidth="1"/>
    <col min="3330" max="3330" width="3" customWidth="1"/>
    <col min="3331" max="3331" width="24.8888888888889" customWidth="1"/>
    <col min="3332" max="3332" width="3.11111111111111" customWidth="1"/>
    <col min="3333" max="3333" width="12.4444444444444" customWidth="1"/>
    <col min="3334" max="3334" width="6.11111111111111" customWidth="1"/>
    <col min="3335" max="3335" width="11.8888888888889" customWidth="1"/>
    <col min="3336" max="3336" width="5.55555555555556" customWidth="1"/>
    <col min="3337" max="3337" width="15.1111111111111" customWidth="1"/>
    <col min="3338" max="3338" width="19.6666666666667" customWidth="1"/>
    <col min="3339" max="3339" width="3.88888888888889" customWidth="1"/>
    <col min="3340" max="3340" width="12" customWidth="1"/>
    <col min="3341" max="3341" width="23.8888888888889" customWidth="1"/>
    <col min="3342" max="3342" width="10.5555555555556" customWidth="1"/>
    <col min="3343" max="3343" width="12.3333333333333" customWidth="1"/>
    <col min="3344" max="3345" width="10.5555555555556" customWidth="1"/>
    <col min="3346" max="3347" width="10.3333333333333" customWidth="1"/>
    <col min="3585" max="3585" width="6.11111111111111" customWidth="1"/>
    <col min="3586" max="3586" width="3" customWidth="1"/>
    <col min="3587" max="3587" width="24.8888888888889" customWidth="1"/>
    <col min="3588" max="3588" width="3.11111111111111" customWidth="1"/>
    <col min="3589" max="3589" width="12.4444444444444" customWidth="1"/>
    <col min="3590" max="3590" width="6.11111111111111" customWidth="1"/>
    <col min="3591" max="3591" width="11.8888888888889" customWidth="1"/>
    <col min="3592" max="3592" width="5.55555555555556" customWidth="1"/>
    <col min="3593" max="3593" width="15.1111111111111" customWidth="1"/>
    <col min="3594" max="3594" width="19.6666666666667" customWidth="1"/>
    <col min="3595" max="3595" width="3.88888888888889" customWidth="1"/>
    <col min="3596" max="3596" width="12" customWidth="1"/>
    <col min="3597" max="3597" width="23.8888888888889" customWidth="1"/>
    <col min="3598" max="3598" width="10.5555555555556" customWidth="1"/>
    <col min="3599" max="3599" width="12.3333333333333" customWidth="1"/>
    <col min="3600" max="3601" width="10.5555555555556" customWidth="1"/>
    <col min="3602" max="3603" width="10.3333333333333" customWidth="1"/>
    <col min="3841" max="3841" width="6.11111111111111" customWidth="1"/>
    <col min="3842" max="3842" width="3" customWidth="1"/>
    <col min="3843" max="3843" width="24.8888888888889" customWidth="1"/>
    <col min="3844" max="3844" width="3.11111111111111" customWidth="1"/>
    <col min="3845" max="3845" width="12.4444444444444" customWidth="1"/>
    <col min="3846" max="3846" width="6.11111111111111" customWidth="1"/>
    <col min="3847" max="3847" width="11.8888888888889" customWidth="1"/>
    <col min="3848" max="3848" width="5.55555555555556" customWidth="1"/>
    <col min="3849" max="3849" width="15.1111111111111" customWidth="1"/>
    <col min="3850" max="3850" width="19.6666666666667" customWidth="1"/>
    <col min="3851" max="3851" width="3.88888888888889" customWidth="1"/>
    <col min="3852" max="3852" width="12" customWidth="1"/>
    <col min="3853" max="3853" width="23.8888888888889" customWidth="1"/>
    <col min="3854" max="3854" width="10.5555555555556" customWidth="1"/>
    <col min="3855" max="3855" width="12.3333333333333" customWidth="1"/>
    <col min="3856" max="3857" width="10.5555555555556" customWidth="1"/>
    <col min="3858" max="3859" width="10.3333333333333" customWidth="1"/>
    <col min="4097" max="4097" width="6.11111111111111" customWidth="1"/>
    <col min="4098" max="4098" width="3" customWidth="1"/>
    <col min="4099" max="4099" width="24.8888888888889" customWidth="1"/>
    <col min="4100" max="4100" width="3.11111111111111" customWidth="1"/>
    <col min="4101" max="4101" width="12.4444444444444" customWidth="1"/>
    <col min="4102" max="4102" width="6.11111111111111" customWidth="1"/>
    <col min="4103" max="4103" width="11.8888888888889" customWidth="1"/>
    <col min="4104" max="4104" width="5.55555555555556" customWidth="1"/>
    <col min="4105" max="4105" width="15.1111111111111" customWidth="1"/>
    <col min="4106" max="4106" width="19.6666666666667" customWidth="1"/>
    <col min="4107" max="4107" width="3.88888888888889" customWidth="1"/>
    <col min="4108" max="4108" width="12" customWidth="1"/>
    <col min="4109" max="4109" width="23.8888888888889" customWidth="1"/>
    <col min="4110" max="4110" width="10.5555555555556" customWidth="1"/>
    <col min="4111" max="4111" width="12.3333333333333" customWidth="1"/>
    <col min="4112" max="4113" width="10.5555555555556" customWidth="1"/>
    <col min="4114" max="4115" width="10.3333333333333" customWidth="1"/>
    <col min="4353" max="4353" width="6.11111111111111" customWidth="1"/>
    <col min="4354" max="4354" width="3" customWidth="1"/>
    <col min="4355" max="4355" width="24.8888888888889" customWidth="1"/>
    <col min="4356" max="4356" width="3.11111111111111" customWidth="1"/>
    <col min="4357" max="4357" width="12.4444444444444" customWidth="1"/>
    <col min="4358" max="4358" width="6.11111111111111" customWidth="1"/>
    <col min="4359" max="4359" width="11.8888888888889" customWidth="1"/>
    <col min="4360" max="4360" width="5.55555555555556" customWidth="1"/>
    <col min="4361" max="4361" width="15.1111111111111" customWidth="1"/>
    <col min="4362" max="4362" width="19.6666666666667" customWidth="1"/>
    <col min="4363" max="4363" width="3.88888888888889" customWidth="1"/>
    <col min="4364" max="4364" width="12" customWidth="1"/>
    <col min="4365" max="4365" width="23.8888888888889" customWidth="1"/>
    <col min="4366" max="4366" width="10.5555555555556" customWidth="1"/>
    <col min="4367" max="4367" width="12.3333333333333" customWidth="1"/>
    <col min="4368" max="4369" width="10.5555555555556" customWidth="1"/>
    <col min="4370" max="4371" width="10.3333333333333" customWidth="1"/>
    <col min="4609" max="4609" width="6.11111111111111" customWidth="1"/>
    <col min="4610" max="4610" width="3" customWidth="1"/>
    <col min="4611" max="4611" width="24.8888888888889" customWidth="1"/>
    <col min="4612" max="4612" width="3.11111111111111" customWidth="1"/>
    <col min="4613" max="4613" width="12.4444444444444" customWidth="1"/>
    <col min="4614" max="4614" width="6.11111111111111" customWidth="1"/>
    <col min="4615" max="4615" width="11.8888888888889" customWidth="1"/>
    <col min="4616" max="4616" width="5.55555555555556" customWidth="1"/>
    <col min="4617" max="4617" width="15.1111111111111" customWidth="1"/>
    <col min="4618" max="4618" width="19.6666666666667" customWidth="1"/>
    <col min="4619" max="4619" width="3.88888888888889" customWidth="1"/>
    <col min="4620" max="4620" width="12" customWidth="1"/>
    <col min="4621" max="4621" width="23.8888888888889" customWidth="1"/>
    <col min="4622" max="4622" width="10.5555555555556" customWidth="1"/>
    <col min="4623" max="4623" width="12.3333333333333" customWidth="1"/>
    <col min="4624" max="4625" width="10.5555555555556" customWidth="1"/>
    <col min="4626" max="4627" width="10.3333333333333" customWidth="1"/>
    <col min="4865" max="4865" width="6.11111111111111" customWidth="1"/>
    <col min="4866" max="4866" width="3" customWidth="1"/>
    <col min="4867" max="4867" width="24.8888888888889" customWidth="1"/>
    <col min="4868" max="4868" width="3.11111111111111" customWidth="1"/>
    <col min="4869" max="4869" width="12.4444444444444" customWidth="1"/>
    <col min="4870" max="4870" width="6.11111111111111" customWidth="1"/>
    <col min="4871" max="4871" width="11.8888888888889" customWidth="1"/>
    <col min="4872" max="4872" width="5.55555555555556" customWidth="1"/>
    <col min="4873" max="4873" width="15.1111111111111" customWidth="1"/>
    <col min="4874" max="4874" width="19.6666666666667" customWidth="1"/>
    <col min="4875" max="4875" width="3.88888888888889" customWidth="1"/>
    <col min="4876" max="4876" width="12" customWidth="1"/>
    <col min="4877" max="4877" width="23.8888888888889" customWidth="1"/>
    <col min="4878" max="4878" width="10.5555555555556" customWidth="1"/>
    <col min="4879" max="4879" width="12.3333333333333" customWidth="1"/>
    <col min="4880" max="4881" width="10.5555555555556" customWidth="1"/>
    <col min="4882" max="4883" width="10.3333333333333" customWidth="1"/>
    <col min="5121" max="5121" width="6.11111111111111" customWidth="1"/>
    <col min="5122" max="5122" width="3" customWidth="1"/>
    <col min="5123" max="5123" width="24.8888888888889" customWidth="1"/>
    <col min="5124" max="5124" width="3.11111111111111" customWidth="1"/>
    <col min="5125" max="5125" width="12.4444444444444" customWidth="1"/>
    <col min="5126" max="5126" width="6.11111111111111" customWidth="1"/>
    <col min="5127" max="5127" width="11.8888888888889" customWidth="1"/>
    <col min="5128" max="5128" width="5.55555555555556" customWidth="1"/>
    <col min="5129" max="5129" width="15.1111111111111" customWidth="1"/>
    <col min="5130" max="5130" width="19.6666666666667" customWidth="1"/>
    <col min="5131" max="5131" width="3.88888888888889" customWidth="1"/>
    <col min="5132" max="5132" width="12" customWidth="1"/>
    <col min="5133" max="5133" width="23.8888888888889" customWidth="1"/>
    <col min="5134" max="5134" width="10.5555555555556" customWidth="1"/>
    <col min="5135" max="5135" width="12.3333333333333" customWidth="1"/>
    <col min="5136" max="5137" width="10.5555555555556" customWidth="1"/>
    <col min="5138" max="5139" width="10.3333333333333" customWidth="1"/>
    <col min="5377" max="5377" width="6.11111111111111" customWidth="1"/>
    <col min="5378" max="5378" width="3" customWidth="1"/>
    <col min="5379" max="5379" width="24.8888888888889" customWidth="1"/>
    <col min="5380" max="5380" width="3.11111111111111" customWidth="1"/>
    <col min="5381" max="5381" width="12.4444444444444" customWidth="1"/>
    <col min="5382" max="5382" width="6.11111111111111" customWidth="1"/>
    <col min="5383" max="5383" width="11.8888888888889" customWidth="1"/>
    <col min="5384" max="5384" width="5.55555555555556" customWidth="1"/>
    <col min="5385" max="5385" width="15.1111111111111" customWidth="1"/>
    <col min="5386" max="5386" width="19.6666666666667" customWidth="1"/>
    <col min="5387" max="5387" width="3.88888888888889" customWidth="1"/>
    <col min="5388" max="5388" width="12" customWidth="1"/>
    <col min="5389" max="5389" width="23.8888888888889" customWidth="1"/>
    <col min="5390" max="5390" width="10.5555555555556" customWidth="1"/>
    <col min="5391" max="5391" width="12.3333333333333" customWidth="1"/>
    <col min="5392" max="5393" width="10.5555555555556" customWidth="1"/>
    <col min="5394" max="5395" width="10.3333333333333" customWidth="1"/>
    <col min="5633" max="5633" width="6.11111111111111" customWidth="1"/>
    <col min="5634" max="5634" width="3" customWidth="1"/>
    <col min="5635" max="5635" width="24.8888888888889" customWidth="1"/>
    <col min="5636" max="5636" width="3.11111111111111" customWidth="1"/>
    <col min="5637" max="5637" width="12.4444444444444" customWidth="1"/>
    <col min="5638" max="5638" width="6.11111111111111" customWidth="1"/>
    <col min="5639" max="5639" width="11.8888888888889" customWidth="1"/>
    <col min="5640" max="5640" width="5.55555555555556" customWidth="1"/>
    <col min="5641" max="5641" width="15.1111111111111" customWidth="1"/>
    <col min="5642" max="5642" width="19.6666666666667" customWidth="1"/>
    <col min="5643" max="5643" width="3.88888888888889" customWidth="1"/>
    <col min="5644" max="5644" width="12" customWidth="1"/>
    <col min="5645" max="5645" width="23.8888888888889" customWidth="1"/>
    <col min="5646" max="5646" width="10.5555555555556" customWidth="1"/>
    <col min="5647" max="5647" width="12.3333333333333" customWidth="1"/>
    <col min="5648" max="5649" width="10.5555555555556" customWidth="1"/>
    <col min="5650" max="5651" width="10.3333333333333" customWidth="1"/>
    <col min="5889" max="5889" width="6.11111111111111" customWidth="1"/>
    <col min="5890" max="5890" width="3" customWidth="1"/>
    <col min="5891" max="5891" width="24.8888888888889" customWidth="1"/>
    <col min="5892" max="5892" width="3.11111111111111" customWidth="1"/>
    <col min="5893" max="5893" width="12.4444444444444" customWidth="1"/>
    <col min="5894" max="5894" width="6.11111111111111" customWidth="1"/>
    <col min="5895" max="5895" width="11.8888888888889" customWidth="1"/>
    <col min="5896" max="5896" width="5.55555555555556" customWidth="1"/>
    <col min="5897" max="5897" width="15.1111111111111" customWidth="1"/>
    <col min="5898" max="5898" width="19.6666666666667" customWidth="1"/>
    <col min="5899" max="5899" width="3.88888888888889" customWidth="1"/>
    <col min="5900" max="5900" width="12" customWidth="1"/>
    <col min="5901" max="5901" width="23.8888888888889" customWidth="1"/>
    <col min="5902" max="5902" width="10.5555555555556" customWidth="1"/>
    <col min="5903" max="5903" width="12.3333333333333" customWidth="1"/>
    <col min="5904" max="5905" width="10.5555555555556" customWidth="1"/>
    <col min="5906" max="5907" width="10.3333333333333" customWidth="1"/>
    <col min="6145" max="6145" width="6.11111111111111" customWidth="1"/>
    <col min="6146" max="6146" width="3" customWidth="1"/>
    <col min="6147" max="6147" width="24.8888888888889" customWidth="1"/>
    <col min="6148" max="6148" width="3.11111111111111" customWidth="1"/>
    <col min="6149" max="6149" width="12.4444444444444" customWidth="1"/>
    <col min="6150" max="6150" width="6.11111111111111" customWidth="1"/>
    <col min="6151" max="6151" width="11.8888888888889" customWidth="1"/>
    <col min="6152" max="6152" width="5.55555555555556" customWidth="1"/>
    <col min="6153" max="6153" width="15.1111111111111" customWidth="1"/>
    <col min="6154" max="6154" width="19.6666666666667" customWidth="1"/>
    <col min="6155" max="6155" width="3.88888888888889" customWidth="1"/>
    <col min="6156" max="6156" width="12" customWidth="1"/>
    <col min="6157" max="6157" width="23.8888888888889" customWidth="1"/>
    <col min="6158" max="6158" width="10.5555555555556" customWidth="1"/>
    <col min="6159" max="6159" width="12.3333333333333" customWidth="1"/>
    <col min="6160" max="6161" width="10.5555555555556" customWidth="1"/>
    <col min="6162" max="6163" width="10.3333333333333" customWidth="1"/>
    <col min="6401" max="6401" width="6.11111111111111" customWidth="1"/>
    <col min="6402" max="6402" width="3" customWidth="1"/>
    <col min="6403" max="6403" width="24.8888888888889" customWidth="1"/>
    <col min="6404" max="6404" width="3.11111111111111" customWidth="1"/>
    <col min="6405" max="6405" width="12.4444444444444" customWidth="1"/>
    <col min="6406" max="6406" width="6.11111111111111" customWidth="1"/>
    <col min="6407" max="6407" width="11.8888888888889" customWidth="1"/>
    <col min="6408" max="6408" width="5.55555555555556" customWidth="1"/>
    <col min="6409" max="6409" width="15.1111111111111" customWidth="1"/>
    <col min="6410" max="6410" width="19.6666666666667" customWidth="1"/>
    <col min="6411" max="6411" width="3.88888888888889" customWidth="1"/>
    <col min="6412" max="6412" width="12" customWidth="1"/>
    <col min="6413" max="6413" width="23.8888888888889" customWidth="1"/>
    <col min="6414" max="6414" width="10.5555555555556" customWidth="1"/>
    <col min="6415" max="6415" width="12.3333333333333" customWidth="1"/>
    <col min="6416" max="6417" width="10.5555555555556" customWidth="1"/>
    <col min="6418" max="6419" width="10.3333333333333" customWidth="1"/>
    <col min="6657" max="6657" width="6.11111111111111" customWidth="1"/>
    <col min="6658" max="6658" width="3" customWidth="1"/>
    <col min="6659" max="6659" width="24.8888888888889" customWidth="1"/>
    <col min="6660" max="6660" width="3.11111111111111" customWidth="1"/>
    <col min="6661" max="6661" width="12.4444444444444" customWidth="1"/>
    <col min="6662" max="6662" width="6.11111111111111" customWidth="1"/>
    <col min="6663" max="6663" width="11.8888888888889" customWidth="1"/>
    <col min="6664" max="6664" width="5.55555555555556" customWidth="1"/>
    <col min="6665" max="6665" width="15.1111111111111" customWidth="1"/>
    <col min="6666" max="6666" width="19.6666666666667" customWidth="1"/>
    <col min="6667" max="6667" width="3.88888888888889" customWidth="1"/>
    <col min="6668" max="6668" width="12" customWidth="1"/>
    <col min="6669" max="6669" width="23.8888888888889" customWidth="1"/>
    <col min="6670" max="6670" width="10.5555555555556" customWidth="1"/>
    <col min="6671" max="6671" width="12.3333333333333" customWidth="1"/>
    <col min="6672" max="6673" width="10.5555555555556" customWidth="1"/>
    <col min="6674" max="6675" width="10.3333333333333" customWidth="1"/>
    <col min="6913" max="6913" width="6.11111111111111" customWidth="1"/>
    <col min="6914" max="6914" width="3" customWidth="1"/>
    <col min="6915" max="6915" width="24.8888888888889" customWidth="1"/>
    <col min="6916" max="6916" width="3.11111111111111" customWidth="1"/>
    <col min="6917" max="6917" width="12.4444444444444" customWidth="1"/>
    <col min="6918" max="6918" width="6.11111111111111" customWidth="1"/>
    <col min="6919" max="6919" width="11.8888888888889" customWidth="1"/>
    <col min="6920" max="6920" width="5.55555555555556" customWidth="1"/>
    <col min="6921" max="6921" width="15.1111111111111" customWidth="1"/>
    <col min="6922" max="6922" width="19.6666666666667" customWidth="1"/>
    <col min="6923" max="6923" width="3.88888888888889" customWidth="1"/>
    <col min="6924" max="6924" width="12" customWidth="1"/>
    <col min="6925" max="6925" width="23.8888888888889" customWidth="1"/>
    <col min="6926" max="6926" width="10.5555555555556" customWidth="1"/>
    <col min="6927" max="6927" width="12.3333333333333" customWidth="1"/>
    <col min="6928" max="6929" width="10.5555555555556" customWidth="1"/>
    <col min="6930" max="6931" width="10.3333333333333" customWidth="1"/>
    <col min="7169" max="7169" width="6.11111111111111" customWidth="1"/>
    <col min="7170" max="7170" width="3" customWidth="1"/>
    <col min="7171" max="7171" width="24.8888888888889" customWidth="1"/>
    <col min="7172" max="7172" width="3.11111111111111" customWidth="1"/>
    <col min="7173" max="7173" width="12.4444444444444" customWidth="1"/>
    <col min="7174" max="7174" width="6.11111111111111" customWidth="1"/>
    <col min="7175" max="7175" width="11.8888888888889" customWidth="1"/>
    <col min="7176" max="7176" width="5.55555555555556" customWidth="1"/>
    <col min="7177" max="7177" width="15.1111111111111" customWidth="1"/>
    <col min="7178" max="7178" width="19.6666666666667" customWidth="1"/>
    <col min="7179" max="7179" width="3.88888888888889" customWidth="1"/>
    <col min="7180" max="7180" width="12" customWidth="1"/>
    <col min="7181" max="7181" width="23.8888888888889" customWidth="1"/>
    <col min="7182" max="7182" width="10.5555555555556" customWidth="1"/>
    <col min="7183" max="7183" width="12.3333333333333" customWidth="1"/>
    <col min="7184" max="7185" width="10.5555555555556" customWidth="1"/>
    <col min="7186" max="7187" width="10.3333333333333" customWidth="1"/>
    <col min="7425" max="7425" width="6.11111111111111" customWidth="1"/>
    <col min="7426" max="7426" width="3" customWidth="1"/>
    <col min="7427" max="7427" width="24.8888888888889" customWidth="1"/>
    <col min="7428" max="7428" width="3.11111111111111" customWidth="1"/>
    <col min="7429" max="7429" width="12.4444444444444" customWidth="1"/>
    <col min="7430" max="7430" width="6.11111111111111" customWidth="1"/>
    <col min="7431" max="7431" width="11.8888888888889" customWidth="1"/>
    <col min="7432" max="7432" width="5.55555555555556" customWidth="1"/>
    <col min="7433" max="7433" width="15.1111111111111" customWidth="1"/>
    <col min="7434" max="7434" width="19.6666666666667" customWidth="1"/>
    <col min="7435" max="7435" width="3.88888888888889" customWidth="1"/>
    <col min="7436" max="7436" width="12" customWidth="1"/>
    <col min="7437" max="7437" width="23.8888888888889" customWidth="1"/>
    <col min="7438" max="7438" width="10.5555555555556" customWidth="1"/>
    <col min="7439" max="7439" width="12.3333333333333" customWidth="1"/>
    <col min="7440" max="7441" width="10.5555555555556" customWidth="1"/>
    <col min="7442" max="7443" width="10.3333333333333" customWidth="1"/>
    <col min="7681" max="7681" width="6.11111111111111" customWidth="1"/>
    <col min="7682" max="7682" width="3" customWidth="1"/>
    <col min="7683" max="7683" width="24.8888888888889" customWidth="1"/>
    <col min="7684" max="7684" width="3.11111111111111" customWidth="1"/>
    <col min="7685" max="7685" width="12.4444444444444" customWidth="1"/>
    <col min="7686" max="7686" width="6.11111111111111" customWidth="1"/>
    <col min="7687" max="7687" width="11.8888888888889" customWidth="1"/>
    <col min="7688" max="7688" width="5.55555555555556" customWidth="1"/>
    <col min="7689" max="7689" width="15.1111111111111" customWidth="1"/>
    <col min="7690" max="7690" width="19.6666666666667" customWidth="1"/>
    <col min="7691" max="7691" width="3.88888888888889" customWidth="1"/>
    <col min="7692" max="7692" width="12" customWidth="1"/>
    <col min="7693" max="7693" width="23.8888888888889" customWidth="1"/>
    <col min="7694" max="7694" width="10.5555555555556" customWidth="1"/>
    <col min="7695" max="7695" width="12.3333333333333" customWidth="1"/>
    <col min="7696" max="7697" width="10.5555555555556" customWidth="1"/>
    <col min="7698" max="7699" width="10.3333333333333" customWidth="1"/>
    <col min="7937" max="7937" width="6.11111111111111" customWidth="1"/>
    <col min="7938" max="7938" width="3" customWidth="1"/>
    <col min="7939" max="7939" width="24.8888888888889" customWidth="1"/>
    <col min="7940" max="7940" width="3.11111111111111" customWidth="1"/>
    <col min="7941" max="7941" width="12.4444444444444" customWidth="1"/>
    <col min="7942" max="7942" width="6.11111111111111" customWidth="1"/>
    <col min="7943" max="7943" width="11.8888888888889" customWidth="1"/>
    <col min="7944" max="7944" width="5.55555555555556" customWidth="1"/>
    <col min="7945" max="7945" width="15.1111111111111" customWidth="1"/>
    <col min="7946" max="7946" width="19.6666666666667" customWidth="1"/>
    <col min="7947" max="7947" width="3.88888888888889" customWidth="1"/>
    <col min="7948" max="7948" width="12" customWidth="1"/>
    <col min="7949" max="7949" width="23.8888888888889" customWidth="1"/>
    <col min="7950" max="7950" width="10.5555555555556" customWidth="1"/>
    <col min="7951" max="7951" width="12.3333333333333" customWidth="1"/>
    <col min="7952" max="7953" width="10.5555555555556" customWidth="1"/>
    <col min="7954" max="7955" width="10.3333333333333" customWidth="1"/>
    <col min="8193" max="8193" width="6.11111111111111" customWidth="1"/>
    <col min="8194" max="8194" width="3" customWidth="1"/>
    <col min="8195" max="8195" width="24.8888888888889" customWidth="1"/>
    <col min="8196" max="8196" width="3.11111111111111" customWidth="1"/>
    <col min="8197" max="8197" width="12.4444444444444" customWidth="1"/>
    <col min="8198" max="8198" width="6.11111111111111" customWidth="1"/>
    <col min="8199" max="8199" width="11.8888888888889" customWidth="1"/>
    <col min="8200" max="8200" width="5.55555555555556" customWidth="1"/>
    <col min="8201" max="8201" width="15.1111111111111" customWidth="1"/>
    <col min="8202" max="8202" width="19.6666666666667" customWidth="1"/>
    <col min="8203" max="8203" width="3.88888888888889" customWidth="1"/>
    <col min="8204" max="8204" width="12" customWidth="1"/>
    <col min="8205" max="8205" width="23.8888888888889" customWidth="1"/>
    <col min="8206" max="8206" width="10.5555555555556" customWidth="1"/>
    <col min="8207" max="8207" width="12.3333333333333" customWidth="1"/>
    <col min="8208" max="8209" width="10.5555555555556" customWidth="1"/>
    <col min="8210" max="8211" width="10.3333333333333" customWidth="1"/>
    <col min="8449" max="8449" width="6.11111111111111" customWidth="1"/>
    <col min="8450" max="8450" width="3" customWidth="1"/>
    <col min="8451" max="8451" width="24.8888888888889" customWidth="1"/>
    <col min="8452" max="8452" width="3.11111111111111" customWidth="1"/>
    <col min="8453" max="8453" width="12.4444444444444" customWidth="1"/>
    <col min="8454" max="8454" width="6.11111111111111" customWidth="1"/>
    <col min="8455" max="8455" width="11.8888888888889" customWidth="1"/>
    <col min="8456" max="8456" width="5.55555555555556" customWidth="1"/>
    <col min="8457" max="8457" width="15.1111111111111" customWidth="1"/>
    <col min="8458" max="8458" width="19.6666666666667" customWidth="1"/>
    <col min="8459" max="8459" width="3.88888888888889" customWidth="1"/>
    <col min="8460" max="8460" width="12" customWidth="1"/>
    <col min="8461" max="8461" width="23.8888888888889" customWidth="1"/>
    <col min="8462" max="8462" width="10.5555555555556" customWidth="1"/>
    <col min="8463" max="8463" width="12.3333333333333" customWidth="1"/>
    <col min="8464" max="8465" width="10.5555555555556" customWidth="1"/>
    <col min="8466" max="8467" width="10.3333333333333" customWidth="1"/>
    <col min="8705" max="8705" width="6.11111111111111" customWidth="1"/>
    <col min="8706" max="8706" width="3" customWidth="1"/>
    <col min="8707" max="8707" width="24.8888888888889" customWidth="1"/>
    <col min="8708" max="8708" width="3.11111111111111" customWidth="1"/>
    <col min="8709" max="8709" width="12.4444444444444" customWidth="1"/>
    <col min="8710" max="8710" width="6.11111111111111" customWidth="1"/>
    <col min="8711" max="8711" width="11.8888888888889" customWidth="1"/>
    <col min="8712" max="8712" width="5.55555555555556" customWidth="1"/>
    <col min="8713" max="8713" width="15.1111111111111" customWidth="1"/>
    <col min="8714" max="8714" width="19.6666666666667" customWidth="1"/>
    <col min="8715" max="8715" width="3.88888888888889" customWidth="1"/>
    <col min="8716" max="8716" width="12" customWidth="1"/>
    <col min="8717" max="8717" width="23.8888888888889" customWidth="1"/>
    <col min="8718" max="8718" width="10.5555555555556" customWidth="1"/>
    <col min="8719" max="8719" width="12.3333333333333" customWidth="1"/>
    <col min="8720" max="8721" width="10.5555555555556" customWidth="1"/>
    <col min="8722" max="8723" width="10.3333333333333" customWidth="1"/>
    <col min="8961" max="8961" width="6.11111111111111" customWidth="1"/>
    <col min="8962" max="8962" width="3" customWidth="1"/>
    <col min="8963" max="8963" width="24.8888888888889" customWidth="1"/>
    <col min="8964" max="8964" width="3.11111111111111" customWidth="1"/>
    <col min="8965" max="8965" width="12.4444444444444" customWidth="1"/>
    <col min="8966" max="8966" width="6.11111111111111" customWidth="1"/>
    <col min="8967" max="8967" width="11.8888888888889" customWidth="1"/>
    <col min="8968" max="8968" width="5.55555555555556" customWidth="1"/>
    <col min="8969" max="8969" width="15.1111111111111" customWidth="1"/>
    <col min="8970" max="8970" width="19.6666666666667" customWidth="1"/>
    <col min="8971" max="8971" width="3.88888888888889" customWidth="1"/>
    <col min="8972" max="8972" width="12" customWidth="1"/>
    <col min="8973" max="8973" width="23.8888888888889" customWidth="1"/>
    <col min="8974" max="8974" width="10.5555555555556" customWidth="1"/>
    <col min="8975" max="8975" width="12.3333333333333" customWidth="1"/>
    <col min="8976" max="8977" width="10.5555555555556" customWidth="1"/>
    <col min="8978" max="8979" width="10.3333333333333" customWidth="1"/>
    <col min="9217" max="9217" width="6.11111111111111" customWidth="1"/>
    <col min="9218" max="9218" width="3" customWidth="1"/>
    <col min="9219" max="9219" width="24.8888888888889" customWidth="1"/>
    <col min="9220" max="9220" width="3.11111111111111" customWidth="1"/>
    <col min="9221" max="9221" width="12.4444444444444" customWidth="1"/>
    <col min="9222" max="9222" width="6.11111111111111" customWidth="1"/>
    <col min="9223" max="9223" width="11.8888888888889" customWidth="1"/>
    <col min="9224" max="9224" width="5.55555555555556" customWidth="1"/>
    <col min="9225" max="9225" width="15.1111111111111" customWidth="1"/>
    <col min="9226" max="9226" width="19.6666666666667" customWidth="1"/>
    <col min="9227" max="9227" width="3.88888888888889" customWidth="1"/>
    <col min="9228" max="9228" width="12" customWidth="1"/>
    <col min="9229" max="9229" width="23.8888888888889" customWidth="1"/>
    <col min="9230" max="9230" width="10.5555555555556" customWidth="1"/>
    <col min="9231" max="9231" width="12.3333333333333" customWidth="1"/>
    <col min="9232" max="9233" width="10.5555555555556" customWidth="1"/>
    <col min="9234" max="9235" width="10.3333333333333" customWidth="1"/>
    <col min="9473" max="9473" width="6.11111111111111" customWidth="1"/>
    <col min="9474" max="9474" width="3" customWidth="1"/>
    <col min="9475" max="9475" width="24.8888888888889" customWidth="1"/>
    <col min="9476" max="9476" width="3.11111111111111" customWidth="1"/>
    <col min="9477" max="9477" width="12.4444444444444" customWidth="1"/>
    <col min="9478" max="9478" width="6.11111111111111" customWidth="1"/>
    <col min="9479" max="9479" width="11.8888888888889" customWidth="1"/>
    <col min="9480" max="9480" width="5.55555555555556" customWidth="1"/>
    <col min="9481" max="9481" width="15.1111111111111" customWidth="1"/>
    <col min="9482" max="9482" width="19.6666666666667" customWidth="1"/>
    <col min="9483" max="9483" width="3.88888888888889" customWidth="1"/>
    <col min="9484" max="9484" width="12" customWidth="1"/>
    <col min="9485" max="9485" width="23.8888888888889" customWidth="1"/>
    <col min="9486" max="9486" width="10.5555555555556" customWidth="1"/>
    <col min="9487" max="9487" width="12.3333333333333" customWidth="1"/>
    <col min="9488" max="9489" width="10.5555555555556" customWidth="1"/>
    <col min="9490" max="9491" width="10.3333333333333" customWidth="1"/>
    <col min="9729" max="9729" width="6.11111111111111" customWidth="1"/>
    <col min="9730" max="9730" width="3" customWidth="1"/>
    <col min="9731" max="9731" width="24.8888888888889" customWidth="1"/>
    <col min="9732" max="9732" width="3.11111111111111" customWidth="1"/>
    <col min="9733" max="9733" width="12.4444444444444" customWidth="1"/>
    <col min="9734" max="9734" width="6.11111111111111" customWidth="1"/>
    <col min="9735" max="9735" width="11.8888888888889" customWidth="1"/>
    <col min="9736" max="9736" width="5.55555555555556" customWidth="1"/>
    <col min="9737" max="9737" width="15.1111111111111" customWidth="1"/>
    <col min="9738" max="9738" width="19.6666666666667" customWidth="1"/>
    <col min="9739" max="9739" width="3.88888888888889" customWidth="1"/>
    <col min="9740" max="9740" width="12" customWidth="1"/>
    <col min="9741" max="9741" width="23.8888888888889" customWidth="1"/>
    <col min="9742" max="9742" width="10.5555555555556" customWidth="1"/>
    <col min="9743" max="9743" width="12.3333333333333" customWidth="1"/>
    <col min="9744" max="9745" width="10.5555555555556" customWidth="1"/>
    <col min="9746" max="9747" width="10.3333333333333" customWidth="1"/>
    <col min="9985" max="9985" width="6.11111111111111" customWidth="1"/>
    <col min="9986" max="9986" width="3" customWidth="1"/>
    <col min="9987" max="9987" width="24.8888888888889" customWidth="1"/>
    <col min="9988" max="9988" width="3.11111111111111" customWidth="1"/>
    <col min="9989" max="9989" width="12.4444444444444" customWidth="1"/>
    <col min="9990" max="9990" width="6.11111111111111" customWidth="1"/>
    <col min="9991" max="9991" width="11.8888888888889" customWidth="1"/>
    <col min="9992" max="9992" width="5.55555555555556" customWidth="1"/>
    <col min="9993" max="9993" width="15.1111111111111" customWidth="1"/>
    <col min="9994" max="9994" width="19.6666666666667" customWidth="1"/>
    <col min="9995" max="9995" width="3.88888888888889" customWidth="1"/>
    <col min="9996" max="9996" width="12" customWidth="1"/>
    <col min="9997" max="9997" width="23.8888888888889" customWidth="1"/>
    <col min="9998" max="9998" width="10.5555555555556" customWidth="1"/>
    <col min="9999" max="9999" width="12.3333333333333" customWidth="1"/>
    <col min="10000" max="10001" width="10.5555555555556" customWidth="1"/>
    <col min="10002" max="10003" width="10.3333333333333" customWidth="1"/>
    <col min="10241" max="10241" width="6.11111111111111" customWidth="1"/>
    <col min="10242" max="10242" width="3" customWidth="1"/>
    <col min="10243" max="10243" width="24.8888888888889" customWidth="1"/>
    <col min="10244" max="10244" width="3.11111111111111" customWidth="1"/>
    <col min="10245" max="10245" width="12.4444444444444" customWidth="1"/>
    <col min="10246" max="10246" width="6.11111111111111" customWidth="1"/>
    <col min="10247" max="10247" width="11.8888888888889" customWidth="1"/>
    <col min="10248" max="10248" width="5.55555555555556" customWidth="1"/>
    <col min="10249" max="10249" width="15.1111111111111" customWidth="1"/>
    <col min="10250" max="10250" width="19.6666666666667" customWidth="1"/>
    <col min="10251" max="10251" width="3.88888888888889" customWidth="1"/>
    <col min="10252" max="10252" width="12" customWidth="1"/>
    <col min="10253" max="10253" width="23.8888888888889" customWidth="1"/>
    <col min="10254" max="10254" width="10.5555555555556" customWidth="1"/>
    <col min="10255" max="10255" width="12.3333333333333" customWidth="1"/>
    <col min="10256" max="10257" width="10.5555555555556" customWidth="1"/>
    <col min="10258" max="10259" width="10.3333333333333" customWidth="1"/>
    <col min="10497" max="10497" width="6.11111111111111" customWidth="1"/>
    <col min="10498" max="10498" width="3" customWidth="1"/>
    <col min="10499" max="10499" width="24.8888888888889" customWidth="1"/>
    <col min="10500" max="10500" width="3.11111111111111" customWidth="1"/>
    <col min="10501" max="10501" width="12.4444444444444" customWidth="1"/>
    <col min="10502" max="10502" width="6.11111111111111" customWidth="1"/>
    <col min="10503" max="10503" width="11.8888888888889" customWidth="1"/>
    <col min="10504" max="10504" width="5.55555555555556" customWidth="1"/>
    <col min="10505" max="10505" width="15.1111111111111" customWidth="1"/>
    <col min="10506" max="10506" width="19.6666666666667" customWidth="1"/>
    <col min="10507" max="10507" width="3.88888888888889" customWidth="1"/>
    <col min="10508" max="10508" width="12" customWidth="1"/>
    <col min="10509" max="10509" width="23.8888888888889" customWidth="1"/>
    <col min="10510" max="10510" width="10.5555555555556" customWidth="1"/>
    <col min="10511" max="10511" width="12.3333333333333" customWidth="1"/>
    <col min="10512" max="10513" width="10.5555555555556" customWidth="1"/>
    <col min="10514" max="10515" width="10.3333333333333" customWidth="1"/>
    <col min="10753" max="10753" width="6.11111111111111" customWidth="1"/>
    <col min="10754" max="10754" width="3" customWidth="1"/>
    <col min="10755" max="10755" width="24.8888888888889" customWidth="1"/>
    <col min="10756" max="10756" width="3.11111111111111" customWidth="1"/>
    <col min="10757" max="10757" width="12.4444444444444" customWidth="1"/>
    <col min="10758" max="10758" width="6.11111111111111" customWidth="1"/>
    <col min="10759" max="10759" width="11.8888888888889" customWidth="1"/>
    <col min="10760" max="10760" width="5.55555555555556" customWidth="1"/>
    <col min="10761" max="10761" width="15.1111111111111" customWidth="1"/>
    <col min="10762" max="10762" width="19.6666666666667" customWidth="1"/>
    <col min="10763" max="10763" width="3.88888888888889" customWidth="1"/>
    <col min="10764" max="10764" width="12" customWidth="1"/>
    <col min="10765" max="10765" width="23.8888888888889" customWidth="1"/>
    <col min="10766" max="10766" width="10.5555555555556" customWidth="1"/>
    <col min="10767" max="10767" width="12.3333333333333" customWidth="1"/>
    <col min="10768" max="10769" width="10.5555555555556" customWidth="1"/>
    <col min="10770" max="10771" width="10.3333333333333" customWidth="1"/>
    <col min="11009" max="11009" width="6.11111111111111" customWidth="1"/>
    <col min="11010" max="11010" width="3" customWidth="1"/>
    <col min="11011" max="11011" width="24.8888888888889" customWidth="1"/>
    <col min="11012" max="11012" width="3.11111111111111" customWidth="1"/>
    <col min="11013" max="11013" width="12.4444444444444" customWidth="1"/>
    <col min="11014" max="11014" width="6.11111111111111" customWidth="1"/>
    <col min="11015" max="11015" width="11.8888888888889" customWidth="1"/>
    <col min="11016" max="11016" width="5.55555555555556" customWidth="1"/>
    <col min="11017" max="11017" width="15.1111111111111" customWidth="1"/>
    <col min="11018" max="11018" width="19.6666666666667" customWidth="1"/>
    <col min="11019" max="11019" width="3.88888888888889" customWidth="1"/>
    <col min="11020" max="11020" width="12" customWidth="1"/>
    <col min="11021" max="11021" width="23.8888888888889" customWidth="1"/>
    <col min="11022" max="11022" width="10.5555555555556" customWidth="1"/>
    <col min="11023" max="11023" width="12.3333333333333" customWidth="1"/>
    <col min="11024" max="11025" width="10.5555555555556" customWidth="1"/>
    <col min="11026" max="11027" width="10.3333333333333" customWidth="1"/>
    <col min="11265" max="11265" width="6.11111111111111" customWidth="1"/>
    <col min="11266" max="11266" width="3" customWidth="1"/>
    <col min="11267" max="11267" width="24.8888888888889" customWidth="1"/>
    <col min="11268" max="11268" width="3.11111111111111" customWidth="1"/>
    <col min="11269" max="11269" width="12.4444444444444" customWidth="1"/>
    <col min="11270" max="11270" width="6.11111111111111" customWidth="1"/>
    <col min="11271" max="11271" width="11.8888888888889" customWidth="1"/>
    <col min="11272" max="11272" width="5.55555555555556" customWidth="1"/>
    <col min="11273" max="11273" width="15.1111111111111" customWidth="1"/>
    <col min="11274" max="11274" width="19.6666666666667" customWidth="1"/>
    <col min="11275" max="11275" width="3.88888888888889" customWidth="1"/>
    <col min="11276" max="11276" width="12" customWidth="1"/>
    <col min="11277" max="11277" width="23.8888888888889" customWidth="1"/>
    <col min="11278" max="11278" width="10.5555555555556" customWidth="1"/>
    <col min="11279" max="11279" width="12.3333333333333" customWidth="1"/>
    <col min="11280" max="11281" width="10.5555555555556" customWidth="1"/>
    <col min="11282" max="11283" width="10.3333333333333" customWidth="1"/>
    <col min="11521" max="11521" width="6.11111111111111" customWidth="1"/>
    <col min="11522" max="11522" width="3" customWidth="1"/>
    <col min="11523" max="11523" width="24.8888888888889" customWidth="1"/>
    <col min="11524" max="11524" width="3.11111111111111" customWidth="1"/>
    <col min="11525" max="11525" width="12.4444444444444" customWidth="1"/>
    <col min="11526" max="11526" width="6.11111111111111" customWidth="1"/>
    <col min="11527" max="11527" width="11.8888888888889" customWidth="1"/>
    <col min="11528" max="11528" width="5.55555555555556" customWidth="1"/>
    <col min="11529" max="11529" width="15.1111111111111" customWidth="1"/>
    <col min="11530" max="11530" width="19.6666666666667" customWidth="1"/>
    <col min="11531" max="11531" width="3.88888888888889" customWidth="1"/>
    <col min="11532" max="11532" width="12" customWidth="1"/>
    <col min="11533" max="11533" width="23.8888888888889" customWidth="1"/>
    <col min="11534" max="11534" width="10.5555555555556" customWidth="1"/>
    <col min="11535" max="11535" width="12.3333333333333" customWidth="1"/>
    <col min="11536" max="11537" width="10.5555555555556" customWidth="1"/>
    <col min="11538" max="11539" width="10.3333333333333" customWidth="1"/>
    <col min="11777" max="11777" width="6.11111111111111" customWidth="1"/>
    <col min="11778" max="11778" width="3" customWidth="1"/>
    <col min="11779" max="11779" width="24.8888888888889" customWidth="1"/>
    <col min="11780" max="11780" width="3.11111111111111" customWidth="1"/>
    <col min="11781" max="11781" width="12.4444444444444" customWidth="1"/>
    <col min="11782" max="11782" width="6.11111111111111" customWidth="1"/>
    <col min="11783" max="11783" width="11.8888888888889" customWidth="1"/>
    <col min="11784" max="11784" width="5.55555555555556" customWidth="1"/>
    <col min="11785" max="11785" width="15.1111111111111" customWidth="1"/>
    <col min="11786" max="11786" width="19.6666666666667" customWidth="1"/>
    <col min="11787" max="11787" width="3.88888888888889" customWidth="1"/>
    <col min="11788" max="11788" width="12" customWidth="1"/>
    <col min="11789" max="11789" width="23.8888888888889" customWidth="1"/>
    <col min="11790" max="11790" width="10.5555555555556" customWidth="1"/>
    <col min="11791" max="11791" width="12.3333333333333" customWidth="1"/>
    <col min="11792" max="11793" width="10.5555555555556" customWidth="1"/>
    <col min="11794" max="11795" width="10.3333333333333" customWidth="1"/>
    <col min="12033" max="12033" width="6.11111111111111" customWidth="1"/>
    <col min="12034" max="12034" width="3" customWidth="1"/>
    <col min="12035" max="12035" width="24.8888888888889" customWidth="1"/>
    <col min="12036" max="12036" width="3.11111111111111" customWidth="1"/>
    <col min="12037" max="12037" width="12.4444444444444" customWidth="1"/>
    <col min="12038" max="12038" width="6.11111111111111" customWidth="1"/>
    <col min="12039" max="12039" width="11.8888888888889" customWidth="1"/>
    <col min="12040" max="12040" width="5.55555555555556" customWidth="1"/>
    <col min="12041" max="12041" width="15.1111111111111" customWidth="1"/>
    <col min="12042" max="12042" width="19.6666666666667" customWidth="1"/>
    <col min="12043" max="12043" width="3.88888888888889" customWidth="1"/>
    <col min="12044" max="12044" width="12" customWidth="1"/>
    <col min="12045" max="12045" width="23.8888888888889" customWidth="1"/>
    <col min="12046" max="12046" width="10.5555555555556" customWidth="1"/>
    <col min="12047" max="12047" width="12.3333333333333" customWidth="1"/>
    <col min="12048" max="12049" width="10.5555555555556" customWidth="1"/>
    <col min="12050" max="12051" width="10.3333333333333" customWidth="1"/>
    <col min="12289" max="12289" width="6.11111111111111" customWidth="1"/>
    <col min="12290" max="12290" width="3" customWidth="1"/>
    <col min="12291" max="12291" width="24.8888888888889" customWidth="1"/>
    <col min="12292" max="12292" width="3.11111111111111" customWidth="1"/>
    <col min="12293" max="12293" width="12.4444444444444" customWidth="1"/>
    <col min="12294" max="12294" width="6.11111111111111" customWidth="1"/>
    <col min="12295" max="12295" width="11.8888888888889" customWidth="1"/>
    <col min="12296" max="12296" width="5.55555555555556" customWidth="1"/>
    <col min="12297" max="12297" width="15.1111111111111" customWidth="1"/>
    <col min="12298" max="12298" width="19.6666666666667" customWidth="1"/>
    <col min="12299" max="12299" width="3.88888888888889" customWidth="1"/>
    <col min="12300" max="12300" width="12" customWidth="1"/>
    <col min="12301" max="12301" width="23.8888888888889" customWidth="1"/>
    <col min="12302" max="12302" width="10.5555555555556" customWidth="1"/>
    <col min="12303" max="12303" width="12.3333333333333" customWidth="1"/>
    <col min="12304" max="12305" width="10.5555555555556" customWidth="1"/>
    <col min="12306" max="12307" width="10.3333333333333" customWidth="1"/>
    <col min="12545" max="12545" width="6.11111111111111" customWidth="1"/>
    <col min="12546" max="12546" width="3" customWidth="1"/>
    <col min="12547" max="12547" width="24.8888888888889" customWidth="1"/>
    <col min="12548" max="12548" width="3.11111111111111" customWidth="1"/>
    <col min="12549" max="12549" width="12.4444444444444" customWidth="1"/>
    <col min="12550" max="12550" width="6.11111111111111" customWidth="1"/>
    <col min="12551" max="12551" width="11.8888888888889" customWidth="1"/>
    <col min="12552" max="12552" width="5.55555555555556" customWidth="1"/>
    <col min="12553" max="12553" width="15.1111111111111" customWidth="1"/>
    <col min="12554" max="12554" width="19.6666666666667" customWidth="1"/>
    <col min="12555" max="12555" width="3.88888888888889" customWidth="1"/>
    <col min="12556" max="12556" width="12" customWidth="1"/>
    <col min="12557" max="12557" width="23.8888888888889" customWidth="1"/>
    <col min="12558" max="12558" width="10.5555555555556" customWidth="1"/>
    <col min="12559" max="12559" width="12.3333333333333" customWidth="1"/>
    <col min="12560" max="12561" width="10.5555555555556" customWidth="1"/>
    <col min="12562" max="12563" width="10.3333333333333" customWidth="1"/>
    <col min="12801" max="12801" width="6.11111111111111" customWidth="1"/>
    <col min="12802" max="12802" width="3" customWidth="1"/>
    <col min="12803" max="12803" width="24.8888888888889" customWidth="1"/>
    <col min="12804" max="12804" width="3.11111111111111" customWidth="1"/>
    <col min="12805" max="12805" width="12.4444444444444" customWidth="1"/>
    <col min="12806" max="12806" width="6.11111111111111" customWidth="1"/>
    <col min="12807" max="12807" width="11.8888888888889" customWidth="1"/>
    <col min="12808" max="12808" width="5.55555555555556" customWidth="1"/>
    <col min="12809" max="12809" width="15.1111111111111" customWidth="1"/>
    <col min="12810" max="12810" width="19.6666666666667" customWidth="1"/>
    <col min="12811" max="12811" width="3.88888888888889" customWidth="1"/>
    <col min="12812" max="12812" width="12" customWidth="1"/>
    <col min="12813" max="12813" width="23.8888888888889" customWidth="1"/>
    <col min="12814" max="12814" width="10.5555555555556" customWidth="1"/>
    <col min="12815" max="12815" width="12.3333333333333" customWidth="1"/>
    <col min="12816" max="12817" width="10.5555555555556" customWidth="1"/>
    <col min="12818" max="12819" width="10.3333333333333" customWidth="1"/>
    <col min="13057" max="13057" width="6.11111111111111" customWidth="1"/>
    <col min="13058" max="13058" width="3" customWidth="1"/>
    <col min="13059" max="13059" width="24.8888888888889" customWidth="1"/>
    <col min="13060" max="13060" width="3.11111111111111" customWidth="1"/>
    <col min="13061" max="13061" width="12.4444444444444" customWidth="1"/>
    <col min="13062" max="13062" width="6.11111111111111" customWidth="1"/>
    <col min="13063" max="13063" width="11.8888888888889" customWidth="1"/>
    <col min="13064" max="13064" width="5.55555555555556" customWidth="1"/>
    <col min="13065" max="13065" width="15.1111111111111" customWidth="1"/>
    <col min="13066" max="13066" width="19.6666666666667" customWidth="1"/>
    <col min="13067" max="13067" width="3.88888888888889" customWidth="1"/>
    <col min="13068" max="13068" width="12" customWidth="1"/>
    <col min="13069" max="13069" width="23.8888888888889" customWidth="1"/>
    <col min="13070" max="13070" width="10.5555555555556" customWidth="1"/>
    <col min="13071" max="13071" width="12.3333333333333" customWidth="1"/>
    <col min="13072" max="13073" width="10.5555555555556" customWidth="1"/>
    <col min="13074" max="13075" width="10.3333333333333" customWidth="1"/>
    <col min="13313" max="13313" width="6.11111111111111" customWidth="1"/>
    <col min="13314" max="13314" width="3" customWidth="1"/>
    <col min="13315" max="13315" width="24.8888888888889" customWidth="1"/>
    <col min="13316" max="13316" width="3.11111111111111" customWidth="1"/>
    <col min="13317" max="13317" width="12.4444444444444" customWidth="1"/>
    <col min="13318" max="13318" width="6.11111111111111" customWidth="1"/>
    <col min="13319" max="13319" width="11.8888888888889" customWidth="1"/>
    <col min="13320" max="13320" width="5.55555555555556" customWidth="1"/>
    <col min="13321" max="13321" width="15.1111111111111" customWidth="1"/>
    <col min="13322" max="13322" width="19.6666666666667" customWidth="1"/>
    <col min="13323" max="13323" width="3.88888888888889" customWidth="1"/>
    <col min="13324" max="13324" width="12" customWidth="1"/>
    <col min="13325" max="13325" width="23.8888888888889" customWidth="1"/>
    <col min="13326" max="13326" width="10.5555555555556" customWidth="1"/>
    <col min="13327" max="13327" width="12.3333333333333" customWidth="1"/>
    <col min="13328" max="13329" width="10.5555555555556" customWidth="1"/>
    <col min="13330" max="13331" width="10.3333333333333" customWidth="1"/>
    <col min="13569" max="13569" width="6.11111111111111" customWidth="1"/>
    <col min="13570" max="13570" width="3" customWidth="1"/>
    <col min="13571" max="13571" width="24.8888888888889" customWidth="1"/>
    <col min="13572" max="13572" width="3.11111111111111" customWidth="1"/>
    <col min="13573" max="13573" width="12.4444444444444" customWidth="1"/>
    <col min="13574" max="13574" width="6.11111111111111" customWidth="1"/>
    <col min="13575" max="13575" width="11.8888888888889" customWidth="1"/>
    <col min="13576" max="13576" width="5.55555555555556" customWidth="1"/>
    <col min="13577" max="13577" width="15.1111111111111" customWidth="1"/>
    <col min="13578" max="13578" width="19.6666666666667" customWidth="1"/>
    <col min="13579" max="13579" width="3.88888888888889" customWidth="1"/>
    <col min="13580" max="13580" width="12" customWidth="1"/>
    <col min="13581" max="13581" width="23.8888888888889" customWidth="1"/>
    <col min="13582" max="13582" width="10.5555555555556" customWidth="1"/>
    <col min="13583" max="13583" width="12.3333333333333" customWidth="1"/>
    <col min="13584" max="13585" width="10.5555555555556" customWidth="1"/>
    <col min="13586" max="13587" width="10.3333333333333" customWidth="1"/>
    <col min="13825" max="13825" width="6.11111111111111" customWidth="1"/>
    <col min="13826" max="13826" width="3" customWidth="1"/>
    <col min="13827" max="13827" width="24.8888888888889" customWidth="1"/>
    <col min="13828" max="13828" width="3.11111111111111" customWidth="1"/>
    <col min="13829" max="13829" width="12.4444444444444" customWidth="1"/>
    <col min="13830" max="13830" width="6.11111111111111" customWidth="1"/>
    <col min="13831" max="13831" width="11.8888888888889" customWidth="1"/>
    <col min="13832" max="13832" width="5.55555555555556" customWidth="1"/>
    <col min="13833" max="13833" width="15.1111111111111" customWidth="1"/>
    <col min="13834" max="13834" width="19.6666666666667" customWidth="1"/>
    <col min="13835" max="13835" width="3.88888888888889" customWidth="1"/>
    <col min="13836" max="13836" width="12" customWidth="1"/>
    <col min="13837" max="13837" width="23.8888888888889" customWidth="1"/>
    <col min="13838" max="13838" width="10.5555555555556" customWidth="1"/>
    <col min="13839" max="13839" width="12.3333333333333" customWidth="1"/>
    <col min="13840" max="13841" width="10.5555555555556" customWidth="1"/>
    <col min="13842" max="13843" width="10.3333333333333" customWidth="1"/>
    <col min="14081" max="14081" width="6.11111111111111" customWidth="1"/>
    <col min="14082" max="14082" width="3" customWidth="1"/>
    <col min="14083" max="14083" width="24.8888888888889" customWidth="1"/>
    <col min="14084" max="14084" width="3.11111111111111" customWidth="1"/>
    <col min="14085" max="14085" width="12.4444444444444" customWidth="1"/>
    <col min="14086" max="14086" width="6.11111111111111" customWidth="1"/>
    <col min="14087" max="14087" width="11.8888888888889" customWidth="1"/>
    <col min="14088" max="14088" width="5.55555555555556" customWidth="1"/>
    <col min="14089" max="14089" width="15.1111111111111" customWidth="1"/>
    <col min="14090" max="14090" width="19.6666666666667" customWidth="1"/>
    <col min="14091" max="14091" width="3.88888888888889" customWidth="1"/>
    <col min="14092" max="14092" width="12" customWidth="1"/>
    <col min="14093" max="14093" width="23.8888888888889" customWidth="1"/>
    <col min="14094" max="14094" width="10.5555555555556" customWidth="1"/>
    <col min="14095" max="14095" width="12.3333333333333" customWidth="1"/>
    <col min="14096" max="14097" width="10.5555555555556" customWidth="1"/>
    <col min="14098" max="14099" width="10.3333333333333" customWidth="1"/>
    <col min="14337" max="14337" width="6.11111111111111" customWidth="1"/>
    <col min="14338" max="14338" width="3" customWidth="1"/>
    <col min="14339" max="14339" width="24.8888888888889" customWidth="1"/>
    <col min="14340" max="14340" width="3.11111111111111" customWidth="1"/>
    <col min="14341" max="14341" width="12.4444444444444" customWidth="1"/>
    <col min="14342" max="14342" width="6.11111111111111" customWidth="1"/>
    <col min="14343" max="14343" width="11.8888888888889" customWidth="1"/>
    <col min="14344" max="14344" width="5.55555555555556" customWidth="1"/>
    <col min="14345" max="14345" width="15.1111111111111" customWidth="1"/>
    <col min="14346" max="14346" width="19.6666666666667" customWidth="1"/>
    <col min="14347" max="14347" width="3.88888888888889" customWidth="1"/>
    <col min="14348" max="14348" width="12" customWidth="1"/>
    <col min="14349" max="14349" width="23.8888888888889" customWidth="1"/>
    <col min="14350" max="14350" width="10.5555555555556" customWidth="1"/>
    <col min="14351" max="14351" width="12.3333333333333" customWidth="1"/>
    <col min="14352" max="14353" width="10.5555555555556" customWidth="1"/>
    <col min="14354" max="14355" width="10.3333333333333" customWidth="1"/>
    <col min="14593" max="14593" width="6.11111111111111" customWidth="1"/>
    <col min="14594" max="14594" width="3" customWidth="1"/>
    <col min="14595" max="14595" width="24.8888888888889" customWidth="1"/>
    <col min="14596" max="14596" width="3.11111111111111" customWidth="1"/>
    <col min="14597" max="14597" width="12.4444444444444" customWidth="1"/>
    <col min="14598" max="14598" width="6.11111111111111" customWidth="1"/>
    <col min="14599" max="14599" width="11.8888888888889" customWidth="1"/>
    <col min="14600" max="14600" width="5.55555555555556" customWidth="1"/>
    <col min="14601" max="14601" width="15.1111111111111" customWidth="1"/>
    <col min="14602" max="14602" width="19.6666666666667" customWidth="1"/>
    <col min="14603" max="14603" width="3.88888888888889" customWidth="1"/>
    <col min="14604" max="14604" width="12" customWidth="1"/>
    <col min="14605" max="14605" width="23.8888888888889" customWidth="1"/>
    <col min="14606" max="14606" width="10.5555555555556" customWidth="1"/>
    <col min="14607" max="14607" width="12.3333333333333" customWidth="1"/>
    <col min="14608" max="14609" width="10.5555555555556" customWidth="1"/>
    <col min="14610" max="14611" width="10.3333333333333" customWidth="1"/>
    <col min="14849" max="14849" width="6.11111111111111" customWidth="1"/>
    <col min="14850" max="14850" width="3" customWidth="1"/>
    <col min="14851" max="14851" width="24.8888888888889" customWidth="1"/>
    <col min="14852" max="14852" width="3.11111111111111" customWidth="1"/>
    <col min="14853" max="14853" width="12.4444444444444" customWidth="1"/>
    <col min="14854" max="14854" width="6.11111111111111" customWidth="1"/>
    <col min="14855" max="14855" width="11.8888888888889" customWidth="1"/>
    <col min="14856" max="14856" width="5.55555555555556" customWidth="1"/>
    <col min="14857" max="14857" width="15.1111111111111" customWidth="1"/>
    <col min="14858" max="14858" width="19.6666666666667" customWidth="1"/>
    <col min="14859" max="14859" width="3.88888888888889" customWidth="1"/>
    <col min="14860" max="14860" width="12" customWidth="1"/>
    <col min="14861" max="14861" width="23.8888888888889" customWidth="1"/>
    <col min="14862" max="14862" width="10.5555555555556" customWidth="1"/>
    <col min="14863" max="14863" width="12.3333333333333" customWidth="1"/>
    <col min="14864" max="14865" width="10.5555555555556" customWidth="1"/>
    <col min="14866" max="14867" width="10.3333333333333" customWidth="1"/>
    <col min="15105" max="15105" width="6.11111111111111" customWidth="1"/>
    <col min="15106" max="15106" width="3" customWidth="1"/>
    <col min="15107" max="15107" width="24.8888888888889" customWidth="1"/>
    <col min="15108" max="15108" width="3.11111111111111" customWidth="1"/>
    <col min="15109" max="15109" width="12.4444444444444" customWidth="1"/>
    <col min="15110" max="15110" width="6.11111111111111" customWidth="1"/>
    <col min="15111" max="15111" width="11.8888888888889" customWidth="1"/>
    <col min="15112" max="15112" width="5.55555555555556" customWidth="1"/>
    <col min="15113" max="15113" width="15.1111111111111" customWidth="1"/>
    <col min="15114" max="15114" width="19.6666666666667" customWidth="1"/>
    <col min="15115" max="15115" width="3.88888888888889" customWidth="1"/>
    <col min="15116" max="15116" width="12" customWidth="1"/>
    <col min="15117" max="15117" width="23.8888888888889" customWidth="1"/>
    <col min="15118" max="15118" width="10.5555555555556" customWidth="1"/>
    <col min="15119" max="15119" width="12.3333333333333" customWidth="1"/>
    <col min="15120" max="15121" width="10.5555555555556" customWidth="1"/>
    <col min="15122" max="15123" width="10.3333333333333" customWidth="1"/>
    <col min="15361" max="15361" width="6.11111111111111" customWidth="1"/>
    <col min="15362" max="15362" width="3" customWidth="1"/>
    <col min="15363" max="15363" width="24.8888888888889" customWidth="1"/>
    <col min="15364" max="15364" width="3.11111111111111" customWidth="1"/>
    <col min="15365" max="15365" width="12.4444444444444" customWidth="1"/>
    <col min="15366" max="15366" width="6.11111111111111" customWidth="1"/>
    <col min="15367" max="15367" width="11.8888888888889" customWidth="1"/>
    <col min="15368" max="15368" width="5.55555555555556" customWidth="1"/>
    <col min="15369" max="15369" width="15.1111111111111" customWidth="1"/>
    <col min="15370" max="15370" width="19.6666666666667" customWidth="1"/>
    <col min="15371" max="15371" width="3.88888888888889" customWidth="1"/>
    <col min="15372" max="15372" width="12" customWidth="1"/>
    <col min="15373" max="15373" width="23.8888888888889" customWidth="1"/>
    <col min="15374" max="15374" width="10.5555555555556" customWidth="1"/>
    <col min="15375" max="15375" width="12.3333333333333" customWidth="1"/>
    <col min="15376" max="15377" width="10.5555555555556" customWidth="1"/>
    <col min="15378" max="15379" width="10.3333333333333" customWidth="1"/>
    <col min="15617" max="15617" width="6.11111111111111" customWidth="1"/>
    <col min="15618" max="15618" width="3" customWidth="1"/>
    <col min="15619" max="15619" width="24.8888888888889" customWidth="1"/>
    <col min="15620" max="15620" width="3.11111111111111" customWidth="1"/>
    <col min="15621" max="15621" width="12.4444444444444" customWidth="1"/>
    <col min="15622" max="15622" width="6.11111111111111" customWidth="1"/>
    <col min="15623" max="15623" width="11.8888888888889" customWidth="1"/>
    <col min="15624" max="15624" width="5.55555555555556" customWidth="1"/>
    <col min="15625" max="15625" width="15.1111111111111" customWidth="1"/>
    <col min="15626" max="15626" width="19.6666666666667" customWidth="1"/>
    <col min="15627" max="15627" width="3.88888888888889" customWidth="1"/>
    <col min="15628" max="15628" width="12" customWidth="1"/>
    <col min="15629" max="15629" width="23.8888888888889" customWidth="1"/>
    <col min="15630" max="15630" width="10.5555555555556" customWidth="1"/>
    <col min="15631" max="15631" width="12.3333333333333" customWidth="1"/>
    <col min="15632" max="15633" width="10.5555555555556" customWidth="1"/>
    <col min="15634" max="15635" width="10.3333333333333" customWidth="1"/>
    <col min="15873" max="15873" width="6.11111111111111" customWidth="1"/>
    <col min="15874" max="15874" width="3" customWidth="1"/>
    <col min="15875" max="15875" width="24.8888888888889" customWidth="1"/>
    <col min="15876" max="15876" width="3.11111111111111" customWidth="1"/>
    <col min="15877" max="15877" width="12.4444444444444" customWidth="1"/>
    <col min="15878" max="15878" width="6.11111111111111" customWidth="1"/>
    <col min="15879" max="15879" width="11.8888888888889" customWidth="1"/>
    <col min="15880" max="15880" width="5.55555555555556" customWidth="1"/>
    <col min="15881" max="15881" width="15.1111111111111" customWidth="1"/>
    <col min="15882" max="15882" width="19.6666666666667" customWidth="1"/>
    <col min="15883" max="15883" width="3.88888888888889" customWidth="1"/>
    <col min="15884" max="15884" width="12" customWidth="1"/>
    <col min="15885" max="15885" width="23.8888888888889" customWidth="1"/>
    <col min="15886" max="15886" width="10.5555555555556" customWidth="1"/>
    <col min="15887" max="15887" width="12.3333333333333" customWidth="1"/>
    <col min="15888" max="15889" width="10.5555555555556" customWidth="1"/>
    <col min="15890" max="15891" width="10.3333333333333" customWidth="1"/>
    <col min="16129" max="16129" width="6.11111111111111" customWidth="1"/>
    <col min="16130" max="16130" width="3" customWidth="1"/>
    <col min="16131" max="16131" width="24.8888888888889" customWidth="1"/>
    <col min="16132" max="16132" width="3.11111111111111" customWidth="1"/>
    <col min="16133" max="16133" width="12.4444444444444" customWidth="1"/>
    <col min="16134" max="16134" width="6.11111111111111" customWidth="1"/>
    <col min="16135" max="16135" width="11.8888888888889" customWidth="1"/>
    <col min="16136" max="16136" width="5.55555555555556" customWidth="1"/>
    <col min="16137" max="16137" width="15.1111111111111" customWidth="1"/>
    <col min="16138" max="16138" width="19.6666666666667" customWidth="1"/>
    <col min="16139" max="16139" width="3.88888888888889" customWidth="1"/>
    <col min="16140" max="16140" width="12" customWidth="1"/>
    <col min="16141" max="16141" width="23.8888888888889" customWidth="1"/>
    <col min="16142" max="16142" width="10.5555555555556" customWidth="1"/>
    <col min="16143" max="16143" width="12.3333333333333" customWidth="1"/>
    <col min="16144" max="16145" width="10.5555555555556" customWidth="1"/>
    <col min="16146" max="16147" width="10.3333333333333" customWidth="1"/>
  </cols>
  <sheetData>
    <row r="1" s="3" customFormat="1" ht="16.2" spans="1:18">
      <c r="A1" s="2"/>
      <c r="C1" s="4"/>
      <c r="D1" s="4"/>
      <c r="E1" s="4"/>
      <c r="F1" s="2"/>
      <c r="G1" s="2"/>
      <c r="H1" s="2"/>
    </row>
    <row r="2" s="3" customFormat="1" ht="16.2" spans="1:18">
      <c r="A2" s="2"/>
      <c r="B2" s="5"/>
      <c r="C2" s="4"/>
      <c r="D2" s="4"/>
      <c r="E2" s="4"/>
      <c r="F2" s="2"/>
      <c r="G2" s="2"/>
      <c r="H2" s="2"/>
    </row>
    <row r="3" s="3" customFormat="1" ht="16.2" spans="1:18">
      <c r="A3" s="2"/>
      <c r="B3" s="5"/>
      <c r="C3" s="6"/>
      <c r="E3" s="2"/>
      <c r="F3" s="2"/>
      <c r="G3" s="2"/>
      <c r="H3" s="2"/>
    </row>
    <row r="4" s="3" customFormat="1" ht="12" customHeight="1" spans="1:18">
      <c r="A4" s="7"/>
      <c r="B4" s="8"/>
      <c r="C4" s="7"/>
      <c r="D4" s="9"/>
      <c r="E4" s="9"/>
      <c r="F4" s="10"/>
      <c r="G4" s="10"/>
      <c r="H4" s="9"/>
      <c r="I4" s="10"/>
      <c r="J4" s="10"/>
      <c r="K4" s="11"/>
      <c r="L4" s="7"/>
    </row>
    <row r="5" s="3" customFormat="1" ht="12" customHeight="1" spans="1:18">
      <c r="A5" s="12"/>
      <c r="B5" s="13"/>
      <c r="C5" s="7"/>
      <c r="D5" s="9"/>
      <c r="E5" s="9"/>
      <c r="F5" s="10"/>
      <c r="G5" s="10"/>
      <c r="H5" s="9"/>
      <c r="I5" s="10"/>
      <c r="J5" s="10"/>
      <c r="K5" s="7"/>
      <c r="L5" s="73" t="s">
        <v>0</v>
      </c>
    </row>
    <row r="6" s="3" customFormat="1" ht="16.2" spans="1:18">
      <c r="A6" s="2"/>
      <c r="B6" s="2"/>
      <c r="C6" s="2"/>
      <c r="D6" s="2"/>
      <c r="E6" s="2"/>
      <c r="F6" s="2"/>
      <c r="G6" s="2"/>
      <c r="H6" s="2"/>
    </row>
    <row r="7" ht="15.6" spans="1:18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ht="15" spans="1:18">
      <c r="C9" s="1" t="s">
        <v>2</v>
      </c>
      <c r="D9" t="s">
        <v>3</v>
      </c>
      <c r="E9" s="15"/>
      <c r="O9" s="67"/>
    </row>
    <row r="10" spans="1:18">
      <c r="C10" s="1" t="s">
        <v>4</v>
      </c>
      <c r="D10" t="s">
        <v>3</v>
      </c>
      <c r="E10" s="65">
        <v>46275</v>
      </c>
      <c r="F10" s="17" t="s">
        <v>5</v>
      </c>
      <c r="G10" s="66">
        <v>46277</v>
      </c>
      <c r="H10" s="66"/>
      <c r="I10" s="66"/>
      <c r="O10" s="67"/>
    </row>
    <row r="11" ht="15.75" customHeight="1" spans="1:18">
      <c r="C11" s="1" t="s">
        <v>6</v>
      </c>
      <c r="D11" t="s">
        <v>3</v>
      </c>
      <c r="E11" s="15" t="s">
        <v>7</v>
      </c>
      <c r="O11" s="68"/>
      <c r="Q11" s="23"/>
    </row>
    <row r="12" ht="14.25" customHeight="1" spans="1:18">
      <c r="C12" s="19" t="s">
        <v>8</v>
      </c>
      <c r="D12" t="s">
        <v>3</v>
      </c>
      <c r="E12" s="20" t="s">
        <v>9</v>
      </c>
      <c r="F12" s="20"/>
      <c r="G12" s="20"/>
      <c r="H12" s="20"/>
      <c r="I12" s="20"/>
      <c r="J12" s="20"/>
      <c r="K12" s="20"/>
      <c r="L12" s="20"/>
      <c r="M12" s="20"/>
      <c r="N12" t="s">
        <v>10</v>
      </c>
      <c r="O12" s="68"/>
      <c r="Q12" s="23"/>
    </row>
    <row r="13" ht="15" customHeight="1" spans="1:18">
      <c r="C13"/>
      <c r="E13" s="20"/>
      <c r="F13" s="20"/>
      <c r="G13" s="20"/>
      <c r="H13" s="20"/>
      <c r="I13" s="20"/>
      <c r="J13" s="20"/>
      <c r="K13" s="20"/>
      <c r="L13" s="20"/>
      <c r="M13" s="20"/>
    </row>
    <row r="14" ht="17.25" customHeight="1" spans="1:18">
      <c r="C14" s="1" t="s">
        <v>11</v>
      </c>
      <c r="D14" t="s">
        <v>3</v>
      </c>
      <c r="E14" s="21" t="s">
        <v>12</v>
      </c>
      <c r="F14" s="16"/>
      <c r="G14" s="17"/>
      <c r="H14" s="18"/>
      <c r="I14" s="18"/>
      <c r="N14" s="21" t="s">
        <v>13</v>
      </c>
      <c r="O14" s="21" t="s">
        <v>14</v>
      </c>
      <c r="P14" s="21" t="s">
        <v>12</v>
      </c>
      <c r="Q14" s="21" t="s">
        <v>15</v>
      </c>
    </row>
    <row r="15" ht="15.6" spans="1:18">
      <c r="C15" s="1" t="s">
        <v>16</v>
      </c>
      <c r="D15" t="s">
        <v>3</v>
      </c>
      <c r="E15" s="22" t="s">
        <v>17</v>
      </c>
      <c r="F15" s="22"/>
      <c r="G15" s="22"/>
      <c r="H15" s="22"/>
      <c r="I15" s="22"/>
    </row>
    <row r="16" ht="15.6" spans="1:18">
      <c r="C16" s="1" t="s">
        <v>18</v>
      </c>
      <c r="D16" t="s">
        <v>3</v>
      </c>
      <c r="E16" s="23" t="s">
        <v>19</v>
      </c>
      <c r="F16" s="24"/>
      <c r="P16" s="69"/>
      <c r="Q16" s="69"/>
      <c r="R16" s="69"/>
    </row>
    <row r="17" spans="1:19">
      <c r="E17" s="24"/>
      <c r="N17" t="s">
        <v>10</v>
      </c>
      <c r="P17" s="69"/>
      <c r="Q17" s="69"/>
      <c r="R17" s="69"/>
    </row>
    <row r="18" spans="1:19">
      <c r="A18" s="25" t="s">
        <v>20</v>
      </c>
      <c r="B18" s="26" t="s">
        <v>21</v>
      </c>
      <c r="C18" s="27"/>
      <c r="D18" s="27"/>
      <c r="E18" s="27"/>
      <c r="F18" s="27"/>
      <c r="G18" s="27"/>
      <c r="H18" s="27"/>
      <c r="I18" s="27"/>
      <c r="J18" s="28"/>
      <c r="K18" s="26" t="s">
        <v>22</v>
      </c>
      <c r="L18" s="28"/>
      <c r="M18" s="29" t="s">
        <v>23</v>
      </c>
      <c r="P18" s="69"/>
      <c r="Q18" s="69"/>
      <c r="R18" s="69"/>
    </row>
    <row r="19" spans="1:19">
      <c r="A19" s="30"/>
      <c r="K19" s="31"/>
      <c r="L19" s="32"/>
      <c r="M19" s="30"/>
      <c r="P19" s="69"/>
      <c r="Q19" s="69"/>
      <c r="R19" s="69"/>
    </row>
    <row r="20" spans="1:19">
      <c r="A20" s="33" t="s">
        <v>24</v>
      </c>
      <c r="B20" t="s">
        <v>25</v>
      </c>
      <c r="K20" s="31"/>
      <c r="L20" s="32"/>
      <c r="M20" s="30"/>
      <c r="P20" s="69"/>
      <c r="Q20" s="69"/>
      <c r="R20" s="69"/>
      <c r="S20" s="70"/>
    </row>
    <row r="21" spans="1:19">
      <c r="A21" s="33"/>
      <c r="G21" t="s">
        <v>10</v>
      </c>
      <c r="K21" s="31"/>
      <c r="L21" s="32"/>
      <c r="M21" s="30"/>
      <c r="O21" s="69"/>
      <c r="P21" s="70"/>
    </row>
    <row r="22" spans="1:19">
      <c r="A22" s="33"/>
      <c r="B22" s="34">
        <v>1</v>
      </c>
      <c r="C22" s="34" t="s">
        <v>26</v>
      </c>
      <c r="K22" s="31"/>
      <c r="L22" s="32"/>
      <c r="M22" s="30"/>
    </row>
    <row r="23" spans="1:19">
      <c r="A23" s="33"/>
      <c r="B23" s="34"/>
      <c r="C23" s="1" t="s">
        <v>27</v>
      </c>
      <c r="G23">
        <v>0</v>
      </c>
      <c r="H23" s="1" t="s">
        <v>28</v>
      </c>
      <c r="I23" s="35">
        <v>0</v>
      </c>
      <c r="K23" s="31" t="s">
        <v>29</v>
      </c>
      <c r="L23" s="36">
        <f t="shared" ref="L23:L25" si="0">+I23*G23</f>
        <v>0</v>
      </c>
      <c r="M23" s="37"/>
      <c r="O23" s="71">
        <f>998200+978000</f>
        <v>1976200</v>
      </c>
      <c r="R23" s="69"/>
    </row>
    <row r="24" spans="1:19">
      <c r="A24" s="33"/>
      <c r="B24" s="34"/>
      <c r="C24" s="1" t="s">
        <v>30</v>
      </c>
      <c r="G24">
        <v>0</v>
      </c>
      <c r="H24" t="s">
        <v>28</v>
      </c>
      <c r="I24" s="35">
        <v>0</v>
      </c>
      <c r="J24" s="38"/>
      <c r="K24" s="31" t="s">
        <v>29</v>
      </c>
      <c r="L24" s="36">
        <f t="shared" si="0"/>
        <v>0</v>
      </c>
      <c r="M24" s="39"/>
      <c r="O24" s="71">
        <f>O23/2</f>
        <v>988100</v>
      </c>
      <c r="R24" s="69"/>
    </row>
    <row r="25" spans="1:19">
      <c r="A25" s="33"/>
      <c r="B25" s="34"/>
      <c r="C25" s="1" t="s">
        <v>31</v>
      </c>
      <c r="G25">
        <v>0</v>
      </c>
      <c r="H25" t="s">
        <v>28</v>
      </c>
      <c r="I25" s="35">
        <v>0</v>
      </c>
      <c r="K25" s="31" t="s">
        <v>29</v>
      </c>
      <c r="L25" s="36">
        <f t="shared" si="0"/>
        <v>0</v>
      </c>
      <c r="M25" s="37"/>
      <c r="N25" t="s">
        <v>10</v>
      </c>
      <c r="O25" s="71">
        <f>O24/2</f>
        <v>494050</v>
      </c>
      <c r="R25" s="69">
        <f>1200000/7</f>
        <v>171428.571428571</v>
      </c>
    </row>
    <row r="26" spans="1:19">
      <c r="A26" s="33"/>
      <c r="B26" s="34">
        <v>2</v>
      </c>
      <c r="C26" s="34" t="s">
        <v>32</v>
      </c>
      <c r="D26" s="34"/>
      <c r="K26" s="31"/>
      <c r="L26" s="40"/>
      <c r="M26" s="30"/>
    </row>
    <row r="27" spans="1:19">
      <c r="A27" s="33"/>
      <c r="B27" s="34"/>
      <c r="C27" s="1" t="s">
        <v>33</v>
      </c>
      <c r="D27" s="41"/>
      <c r="E27">
        <v>3</v>
      </c>
      <c r="F27" t="s">
        <v>34</v>
      </c>
      <c r="G27" s="38">
        <v>1</v>
      </c>
      <c r="H27" t="s">
        <v>28</v>
      </c>
      <c r="I27" s="42">
        <v>190000</v>
      </c>
      <c r="K27" s="31" t="s">
        <v>29</v>
      </c>
      <c r="L27" s="43">
        <f t="shared" ref="L27:L29" si="1">I27*G27*E27</f>
        <v>570000</v>
      </c>
      <c r="M27" s="37"/>
      <c r="O27" s="70"/>
    </row>
    <row r="28" spans="1:19">
      <c r="A28" s="33"/>
      <c r="B28" s="34"/>
      <c r="C28" s="1" t="s">
        <v>35</v>
      </c>
      <c r="D28" s="41"/>
      <c r="E28">
        <v>2</v>
      </c>
      <c r="F28" t="s">
        <v>34</v>
      </c>
      <c r="G28" s="38">
        <v>1</v>
      </c>
      <c r="H28" t="str">
        <f t="shared" ref="H28:K28" si="2">+H27</f>
        <v>x Rp.</v>
      </c>
      <c r="I28" s="42">
        <v>50000</v>
      </c>
      <c r="K28" s="31" t="str">
        <f t="shared" si="2"/>
        <v>Rp.</v>
      </c>
      <c r="L28" s="43">
        <f t="shared" si="1"/>
        <v>100000</v>
      </c>
      <c r="M28" s="37"/>
      <c r="O28" s="59">
        <f>SUM(L23:L29)</f>
        <v>670000</v>
      </c>
    </row>
    <row r="29" spans="1:19">
      <c r="A29" s="33"/>
      <c r="B29" s="34"/>
      <c r="C29" s="1" t="s">
        <v>36</v>
      </c>
      <c r="D29" s="41"/>
      <c r="E29">
        <v>0</v>
      </c>
      <c r="F29" t="s">
        <v>34</v>
      </c>
      <c r="G29" s="38">
        <v>1</v>
      </c>
      <c r="H29" t="str">
        <f t="shared" ref="H29:K29" si="3">+H28</f>
        <v>x Rp.</v>
      </c>
      <c r="I29" s="42">
        <v>250000</v>
      </c>
      <c r="K29" s="31" t="str">
        <f t="shared" si="3"/>
        <v>Rp.</v>
      </c>
      <c r="L29" s="43">
        <f t="shared" si="1"/>
        <v>0</v>
      </c>
      <c r="M29" s="44"/>
    </row>
    <row r="30" spans="1:19">
      <c r="A30" s="33"/>
      <c r="B30" s="34">
        <v>3</v>
      </c>
      <c r="C30" s="34" t="s">
        <v>37</v>
      </c>
      <c r="D30" s="41"/>
      <c r="G30" s="38" t="s">
        <v>38</v>
      </c>
      <c r="I30" s="42"/>
      <c r="J30" s="1" t="s">
        <v>10</v>
      </c>
      <c r="K30" s="31"/>
      <c r="L30" s="40"/>
      <c r="M30" s="37"/>
    </row>
    <row r="31" spans="1:19">
      <c r="A31" s="33"/>
      <c r="B31" s="34"/>
      <c r="C31" s="1" t="s">
        <v>33</v>
      </c>
      <c r="D31" s="41"/>
      <c r="E31">
        <v>0</v>
      </c>
      <c r="F31" t="s">
        <v>34</v>
      </c>
      <c r="G31" s="38">
        <v>1</v>
      </c>
      <c r="H31" t="str">
        <f>+H29</f>
        <v>x Rp.</v>
      </c>
      <c r="I31" s="42">
        <v>0</v>
      </c>
      <c r="K31" s="31" t="s">
        <v>29</v>
      </c>
      <c r="L31" s="40">
        <f t="shared" ref="L31:L33" si="4">+E31*G31*I31</f>
        <v>0</v>
      </c>
      <c r="M31" s="39"/>
      <c r="O31" s="70"/>
    </row>
    <row r="32" spans="1:19">
      <c r="A32" s="33"/>
      <c r="B32" s="34"/>
      <c r="C32" s="1" t="s">
        <v>35</v>
      </c>
      <c r="D32" s="41"/>
      <c r="E32">
        <v>0</v>
      </c>
      <c r="F32" t="s">
        <v>34</v>
      </c>
      <c r="G32" s="38">
        <v>1</v>
      </c>
      <c r="H32" t="str">
        <f t="shared" ref="H32" si="5">+H31</f>
        <v>x Rp.</v>
      </c>
      <c r="I32" s="42">
        <v>0</v>
      </c>
      <c r="K32" s="31" t="str">
        <f t="shared" ref="K32" si="6">+K31</f>
        <v>Rp.</v>
      </c>
      <c r="L32" s="40">
        <f t="shared" si="4"/>
        <v>0</v>
      </c>
      <c r="M32" s="37"/>
    </row>
    <row r="33" spans="1:15">
      <c r="A33" s="33"/>
      <c r="B33" s="34"/>
      <c r="C33" s="1" t="s">
        <v>36</v>
      </c>
      <c r="D33" s="41"/>
      <c r="E33">
        <v>0</v>
      </c>
      <c r="F33" t="s">
        <v>34</v>
      </c>
      <c r="G33" s="38">
        <v>1</v>
      </c>
      <c r="H33" t="s">
        <v>28</v>
      </c>
      <c r="I33" s="42">
        <v>0</v>
      </c>
      <c r="K33" s="31" t="s">
        <v>29</v>
      </c>
      <c r="L33" s="40">
        <f t="shared" si="4"/>
        <v>0</v>
      </c>
      <c r="M33" s="30"/>
    </row>
    <row r="34" spans="1:15">
      <c r="A34" s="33"/>
      <c r="B34" s="34">
        <v>4</v>
      </c>
      <c r="C34" s="34" t="s">
        <v>39</v>
      </c>
      <c r="D34" s="41"/>
      <c r="G34" s="38" t="s">
        <v>38</v>
      </c>
      <c r="I34" s="42"/>
      <c r="J34" s="1" t="s">
        <v>10</v>
      </c>
      <c r="K34" s="31"/>
      <c r="L34" s="40"/>
      <c r="M34" s="37"/>
    </row>
    <row r="35" spans="1:15">
      <c r="A35" s="33"/>
      <c r="B35" s="34"/>
      <c r="C35" s="1" t="s">
        <v>40</v>
      </c>
      <c r="D35" s="41"/>
      <c r="E35">
        <v>0</v>
      </c>
      <c r="F35" t="s">
        <v>34</v>
      </c>
      <c r="G35" s="38">
        <v>1</v>
      </c>
      <c r="H35" t="str">
        <f>+H36</f>
        <v>x Rp.</v>
      </c>
      <c r="I35" s="42">
        <v>0</v>
      </c>
      <c r="K35" s="31" t="str">
        <f>+K33</f>
        <v>Rp.</v>
      </c>
      <c r="L35" s="40">
        <f t="shared" ref="L35:L37" si="7">+E35*G35*I35</f>
        <v>0</v>
      </c>
      <c r="M35" s="45"/>
    </row>
    <row r="36" spans="1:15">
      <c r="A36" s="33"/>
      <c r="B36" s="34"/>
      <c r="C36" s="1" t="s">
        <v>41</v>
      </c>
      <c r="D36" s="41"/>
      <c r="E36">
        <v>0</v>
      </c>
      <c r="F36" t="s">
        <v>34</v>
      </c>
      <c r="G36" s="38">
        <v>1</v>
      </c>
      <c r="H36" t="str">
        <f>+H33</f>
        <v>x Rp.</v>
      </c>
      <c r="I36" s="42">
        <v>0</v>
      </c>
      <c r="K36" s="31" t="str">
        <f t="shared" ref="K36:K41" si="8">+K35</f>
        <v>Rp.</v>
      </c>
      <c r="L36" s="40">
        <f t="shared" si="7"/>
        <v>0</v>
      </c>
      <c r="M36" s="39"/>
      <c r="O36" s="70"/>
    </row>
    <row r="37" spans="1:15">
      <c r="A37" s="33"/>
      <c r="B37" s="34"/>
      <c r="C37" s="1" t="s">
        <v>42</v>
      </c>
      <c r="D37" s="41"/>
      <c r="E37">
        <v>0</v>
      </c>
      <c r="F37" t="s">
        <v>34</v>
      </c>
      <c r="G37" s="38">
        <v>1</v>
      </c>
      <c r="H37" t="str">
        <f t="shared" ref="H37:K37" si="9">+H36</f>
        <v>x Rp.</v>
      </c>
      <c r="I37" s="42">
        <v>0</v>
      </c>
      <c r="K37" s="31" t="str">
        <f t="shared" si="9"/>
        <v>Rp.</v>
      </c>
      <c r="L37" s="40">
        <f t="shared" si="7"/>
        <v>0</v>
      </c>
      <c r="M37" s="37"/>
    </row>
    <row r="38" spans="1:15">
      <c r="A38" s="33"/>
      <c r="B38" s="34">
        <v>5</v>
      </c>
      <c r="C38" s="34" t="s">
        <v>43</v>
      </c>
      <c r="D38" s="41"/>
      <c r="G38" s="38" t="s">
        <v>38</v>
      </c>
      <c r="I38" s="42"/>
      <c r="J38" s="1" t="s">
        <v>10</v>
      </c>
      <c r="K38" s="31"/>
      <c r="L38" s="40"/>
      <c r="M38" s="37"/>
    </row>
    <row r="39" spans="1:15">
      <c r="A39" s="33"/>
      <c r="B39" s="34"/>
      <c r="C39" s="1" t="s">
        <v>44</v>
      </c>
      <c r="D39" s="41"/>
      <c r="E39">
        <v>0</v>
      </c>
      <c r="F39" t="str">
        <f>+F40</f>
        <v>hari x</v>
      </c>
      <c r="G39" s="38">
        <v>1</v>
      </c>
      <c r="H39" t="str">
        <f>+H40</f>
        <v>x Rp.</v>
      </c>
      <c r="I39" s="42">
        <v>0</v>
      </c>
      <c r="K39" s="31" t="str">
        <f>+K37</f>
        <v>Rp.</v>
      </c>
      <c r="L39" s="40">
        <f t="shared" ref="L39:L41" si="10">+E39*G39*I39</f>
        <v>0</v>
      </c>
      <c r="M39" s="45"/>
    </row>
    <row r="40" spans="1:15">
      <c r="A40" s="33"/>
      <c r="B40" s="34"/>
      <c r="C40" s="1" t="s">
        <v>45</v>
      </c>
      <c r="D40" s="41"/>
      <c r="E40">
        <v>0</v>
      </c>
      <c r="F40" t="str">
        <f>+F37</f>
        <v>hari x</v>
      </c>
      <c r="G40" s="38">
        <v>1</v>
      </c>
      <c r="H40" t="str">
        <f>+H37</f>
        <v>x Rp.</v>
      </c>
      <c r="I40" s="42">
        <v>0</v>
      </c>
      <c r="K40" s="31" t="str">
        <f t="shared" si="8"/>
        <v>Rp.</v>
      </c>
      <c r="L40" s="40">
        <f t="shared" si="10"/>
        <v>0</v>
      </c>
      <c r="M40" s="39"/>
      <c r="O40" s="70"/>
    </row>
    <row r="41" spans="1:15">
      <c r="A41" s="33"/>
      <c r="B41" s="34">
        <v>6</v>
      </c>
      <c r="C41" s="34" t="s">
        <v>46</v>
      </c>
      <c r="D41" s="41"/>
      <c r="E41">
        <v>0</v>
      </c>
      <c r="F41" t="s">
        <v>47</v>
      </c>
      <c r="G41" s="38">
        <v>1</v>
      </c>
      <c r="H41" t="str">
        <f>+H39</f>
        <v>x Rp.</v>
      </c>
      <c r="I41" s="42">
        <v>0</v>
      </c>
      <c r="K41" s="31" t="str">
        <f t="shared" si="8"/>
        <v>Rp.</v>
      </c>
      <c r="L41" s="40">
        <f t="shared" si="10"/>
        <v>0</v>
      </c>
      <c r="M41" s="37"/>
    </row>
    <row r="42" spans="1:15">
      <c r="A42" s="33"/>
      <c r="B42" s="34"/>
      <c r="D42" s="41"/>
      <c r="G42" s="38"/>
      <c r="I42" s="42"/>
      <c r="K42" s="31"/>
      <c r="L42" s="40"/>
      <c r="M42" s="30"/>
    </row>
    <row r="43" spans="1:15">
      <c r="A43" s="33"/>
      <c r="C43" s="1" t="s">
        <v>10</v>
      </c>
      <c r="D43" t="s">
        <v>10</v>
      </c>
      <c r="K43" s="31"/>
      <c r="L43" s="40"/>
      <c r="M43" s="30"/>
    </row>
    <row r="44" spans="1:15">
      <c r="A44" s="33"/>
      <c r="B44" s="34" t="s">
        <v>48</v>
      </c>
      <c r="E44" t="s">
        <v>10</v>
      </c>
      <c r="K44" s="31" t="s">
        <v>29</v>
      </c>
      <c r="L44" s="46">
        <f>SUM(L23:L41)</f>
        <v>670000</v>
      </c>
      <c r="M44" s="30"/>
    </row>
    <row r="45" spans="1:15">
      <c r="A45" s="33"/>
      <c r="D45" t="s">
        <v>10</v>
      </c>
      <c r="E45" t="s">
        <v>10</v>
      </c>
      <c r="J45" t="s">
        <v>10</v>
      </c>
      <c r="K45" s="31" t="s">
        <v>10</v>
      </c>
      <c r="L45" s="40"/>
      <c r="M45" s="30"/>
    </row>
    <row r="46" spans="1:15">
      <c r="A46" s="33" t="s">
        <v>49</v>
      </c>
      <c r="B46" s="34" t="s">
        <v>50</v>
      </c>
      <c r="K46" s="31"/>
      <c r="L46" s="40"/>
      <c r="M46" s="30"/>
    </row>
    <row r="47" spans="1:15">
      <c r="A47" s="33"/>
      <c r="B47" s="34">
        <v>1</v>
      </c>
      <c r="C47" s="34" t="s">
        <v>51</v>
      </c>
      <c r="K47" s="31"/>
      <c r="L47" s="40"/>
      <c r="M47" s="30"/>
    </row>
    <row r="48" spans="1:15">
      <c r="A48" s="33"/>
      <c r="C48" s="1" t="s">
        <v>52</v>
      </c>
      <c r="K48" s="31" t="s">
        <v>29</v>
      </c>
      <c r="L48" s="40">
        <v>0</v>
      </c>
      <c r="M48" s="30"/>
    </row>
    <row r="49" spans="1:18">
      <c r="A49" s="33"/>
      <c r="C49" s="1" t="s">
        <v>53</v>
      </c>
      <c r="K49" s="31" t="s">
        <v>29</v>
      </c>
      <c r="L49" s="40">
        <v>0</v>
      </c>
      <c r="M49" s="30"/>
    </row>
    <row r="50" spans="1:18">
      <c r="A50" s="33"/>
      <c r="C50" s="1" t="s">
        <v>54</v>
      </c>
      <c r="K50" s="31" t="s">
        <v>29</v>
      </c>
      <c r="L50" s="40">
        <v>0</v>
      </c>
      <c r="M50" s="30"/>
    </row>
    <row r="51" spans="1:18">
      <c r="A51" s="33"/>
      <c r="K51" s="31" t="s">
        <v>29</v>
      </c>
      <c r="L51" s="40">
        <v>0</v>
      </c>
      <c r="M51" s="30"/>
    </row>
    <row r="52" spans="1:18">
      <c r="A52" s="33"/>
      <c r="B52" s="34">
        <v>2</v>
      </c>
      <c r="C52" s="34" t="s">
        <v>55</v>
      </c>
      <c r="K52" s="31"/>
      <c r="L52" s="40"/>
      <c r="M52" s="30"/>
    </row>
    <row r="53" spans="1:18">
      <c r="A53" s="33"/>
      <c r="C53" s="1" t="s">
        <v>56</v>
      </c>
      <c r="D53" t="s">
        <v>57</v>
      </c>
      <c r="E53" t="s">
        <v>58</v>
      </c>
      <c r="F53" t="s">
        <v>34</v>
      </c>
      <c r="H53" t="s">
        <v>59</v>
      </c>
      <c r="I53" t="s">
        <v>60</v>
      </c>
      <c r="K53" s="31" t="s">
        <v>29</v>
      </c>
      <c r="L53" s="40">
        <v>0</v>
      </c>
      <c r="M53" s="30"/>
    </row>
    <row r="54" spans="1:18">
      <c r="A54" s="33"/>
      <c r="C54" s="1" t="s">
        <v>61</v>
      </c>
      <c r="K54" s="31"/>
      <c r="L54" s="40"/>
      <c r="M54" s="30"/>
    </row>
    <row r="55" spans="1:18">
      <c r="A55" s="33"/>
      <c r="B55" s="34">
        <v>3</v>
      </c>
      <c r="C55" s="1" t="s">
        <v>62</v>
      </c>
      <c r="K55" s="31"/>
      <c r="L55" s="40"/>
      <c r="M55" s="30"/>
    </row>
    <row r="56" spans="1:18">
      <c r="A56" s="33"/>
      <c r="B56" s="34"/>
      <c r="C56" s="1" t="s">
        <v>40</v>
      </c>
      <c r="E56">
        <v>0</v>
      </c>
      <c r="F56" t="str">
        <f>+F39</f>
        <v>hari x</v>
      </c>
      <c r="G56" s="38">
        <v>1</v>
      </c>
      <c r="H56">
        <f>+H57</f>
        <v>0</v>
      </c>
      <c r="I56" s="42">
        <v>0</v>
      </c>
      <c r="K56" s="31" t="str">
        <f>+K53</f>
        <v>Rp.</v>
      </c>
      <c r="L56" s="40">
        <f t="shared" ref="L56:L58" si="11">+E56*G56*I56</f>
        <v>0</v>
      </c>
      <c r="M56" s="30"/>
      <c r="O56" s="69"/>
    </row>
    <row r="57" spans="1:18">
      <c r="A57" s="33"/>
      <c r="B57" s="34"/>
      <c r="C57" s="1" t="s">
        <v>41</v>
      </c>
      <c r="E57">
        <v>0</v>
      </c>
      <c r="F57" t="str">
        <f>+F56</f>
        <v>hari x</v>
      </c>
      <c r="G57" s="38">
        <v>1</v>
      </c>
      <c r="H57">
        <f>+H54</f>
        <v>0</v>
      </c>
      <c r="I57" s="42">
        <v>0</v>
      </c>
      <c r="K57" s="31" t="str">
        <f>+K56</f>
        <v>Rp.</v>
      </c>
      <c r="L57" s="40">
        <f t="shared" si="11"/>
        <v>0</v>
      </c>
      <c r="M57" s="30"/>
      <c r="O57" s="69"/>
    </row>
    <row r="58" spans="1:18">
      <c r="A58" s="33"/>
      <c r="B58" s="34"/>
      <c r="C58" s="1" t="s">
        <v>42</v>
      </c>
      <c r="E58">
        <v>0</v>
      </c>
      <c r="F58" t="str">
        <f t="shared" ref="F58:K58" si="12">+F57</f>
        <v>hari x</v>
      </c>
      <c r="G58" s="38">
        <v>0.5</v>
      </c>
      <c r="H58">
        <f t="shared" si="12"/>
        <v>0</v>
      </c>
      <c r="I58" s="42">
        <v>0</v>
      </c>
      <c r="K58" s="31" t="str">
        <f t="shared" si="12"/>
        <v>Rp.</v>
      </c>
      <c r="L58" s="40">
        <f t="shared" si="11"/>
        <v>0</v>
      </c>
      <c r="M58" s="30"/>
      <c r="O58" s="69"/>
    </row>
    <row r="59" spans="1:18">
      <c r="A59" s="33"/>
      <c r="B59">
        <v>4</v>
      </c>
      <c r="C59" s="1" t="s">
        <v>63</v>
      </c>
      <c r="G59" s="41"/>
      <c r="I59" s="1" t="s">
        <v>10</v>
      </c>
      <c r="K59" s="31"/>
      <c r="L59" s="40"/>
      <c r="M59" s="30"/>
    </row>
    <row r="60" spans="1:18">
      <c r="A60" s="33"/>
      <c r="K60" s="31"/>
      <c r="L60" s="40"/>
      <c r="M60" s="30"/>
      <c r="R60" s="72"/>
    </row>
    <row r="61" spans="1:18">
      <c r="A61" s="33"/>
      <c r="B61" s="34" t="s">
        <v>64</v>
      </c>
      <c r="C61" s="34"/>
      <c r="K61" s="31" t="s">
        <v>29</v>
      </c>
      <c r="L61" s="46">
        <f>SUM(L48:L60)</f>
        <v>0</v>
      </c>
      <c r="M61" s="30"/>
    </row>
    <row r="62" spans="1:18">
      <c r="A62" s="33"/>
      <c r="K62" s="31"/>
      <c r="L62" s="40"/>
      <c r="M62" s="30"/>
      <c r="R62" s="72"/>
    </row>
    <row r="63" ht="15.15" spans="1:18">
      <c r="A63" s="33" t="s">
        <v>65</v>
      </c>
      <c r="B63" s="34" t="s">
        <v>66</v>
      </c>
      <c r="C63" s="34"/>
      <c r="K63" s="31" t="s">
        <v>29</v>
      </c>
      <c r="L63" s="46">
        <f>L61+L44</f>
        <v>670000</v>
      </c>
      <c r="M63" s="47"/>
      <c r="O63" s="71"/>
    </row>
    <row r="64" spans="1:18">
      <c r="A64" s="30"/>
      <c r="G64" t="s">
        <v>10</v>
      </c>
      <c r="K64" s="48"/>
      <c r="L64" s="49"/>
      <c r="M64" s="47"/>
      <c r="R64" s="72"/>
    </row>
    <row r="65" spans="1:18">
      <c r="A65" s="50"/>
      <c r="B65" s="51"/>
      <c r="C65" s="52"/>
      <c r="D65" s="52"/>
      <c r="E65" s="52"/>
      <c r="F65" s="53"/>
      <c r="G65" s="53"/>
      <c r="H65" s="53"/>
      <c r="I65" s="53"/>
      <c r="J65" s="54"/>
      <c r="K65" s="55"/>
      <c r="L65" s="54"/>
      <c r="M65" s="56"/>
    </row>
    <row r="66" ht="18" customHeight="1" spans="1:18">
      <c r="B66" t="s">
        <v>10</v>
      </c>
      <c r="K66" s="57"/>
      <c r="L66" s="57"/>
      <c r="M66" s="57"/>
      <c r="R66" s="72"/>
    </row>
    <row r="67" spans="1:18">
      <c r="A67" t="s">
        <v>67</v>
      </c>
      <c r="H67" t="s">
        <v>68</v>
      </c>
    </row>
    <row r="68" spans="1:18">
      <c r="C68" s="34" t="s">
        <v>29</v>
      </c>
      <c r="D68" s="34"/>
      <c r="E68" s="58">
        <f>+L63</f>
        <v>670000</v>
      </c>
      <c r="I68" s="34" t="s">
        <v>29</v>
      </c>
      <c r="L68" s="59">
        <f>+L63</f>
        <v>670000</v>
      </c>
    </row>
    <row r="69" spans="1:18">
      <c r="A69" s="60"/>
      <c r="C69" s="34"/>
      <c r="I69" s="34"/>
      <c r="R69" s="72"/>
    </row>
    <row r="70" spans="1:18">
      <c r="G70" t="s">
        <v>10</v>
      </c>
    </row>
    <row r="71" spans="1:18">
      <c r="B71" s="61" t="s">
        <v>69</v>
      </c>
      <c r="C71" s="61"/>
      <c r="H71" s="62" t="s">
        <v>70</v>
      </c>
      <c r="I71" s="62"/>
      <c r="J71" s="62"/>
      <c r="K71" s="62"/>
      <c r="L71" s="62"/>
    </row>
    <row r="72" spans="1:18">
      <c r="H72" s="63"/>
      <c r="I72" s="63"/>
      <c r="J72" s="63"/>
      <c r="K72" s="63"/>
      <c r="L72" s="63"/>
    </row>
    <row r="73" spans="1:18">
      <c r="H73" s="63"/>
      <c r="I73" s="63"/>
      <c r="J73" s="63"/>
      <c r="K73" s="63"/>
      <c r="L73" s="63"/>
    </row>
    <row r="74" spans="1:18">
      <c r="H74" s="63"/>
      <c r="I74" s="63"/>
      <c r="J74" s="63"/>
      <c r="K74" s="63"/>
      <c r="L74" s="63"/>
    </row>
    <row r="75" spans="1:18">
      <c r="B75" s="61" t="s">
        <v>71</v>
      </c>
      <c r="C75" s="61"/>
      <c r="H75" s="62" t="str">
        <f>E15</f>
        <v>MUH. ARDI</v>
      </c>
      <c r="I75" s="62"/>
      <c r="J75" s="62"/>
      <c r="K75" s="62"/>
      <c r="L75" s="62"/>
    </row>
    <row r="76" ht="16.2" spans="1:18">
      <c r="A76" s="2"/>
      <c r="B76" s="3"/>
      <c r="C76" s="4"/>
      <c r="D76" s="4"/>
      <c r="E76" s="4"/>
      <c r="F76" s="2"/>
      <c r="G76" s="2"/>
      <c r="H76" s="2"/>
      <c r="I76" s="3"/>
      <c r="J76" s="3"/>
      <c r="K76" s="3"/>
      <c r="L76" s="3"/>
      <c r="M76" s="3"/>
    </row>
    <row r="77" ht="16.2" spans="1:18">
      <c r="A77" s="2"/>
      <c r="B77" s="5"/>
      <c r="C77" s="4"/>
      <c r="D77" s="4"/>
      <c r="E77" s="4"/>
      <c r="F77" s="2"/>
      <c r="G77" s="2"/>
      <c r="H77" s="2"/>
      <c r="I77" s="3"/>
      <c r="J77" s="3"/>
      <c r="K77" s="3"/>
      <c r="L77" s="3"/>
      <c r="M77" s="3"/>
    </row>
    <row r="78" ht="16.2" spans="1:18">
      <c r="A78" s="2"/>
      <c r="B78" s="5"/>
      <c r="C78" s="6"/>
      <c r="D78" s="3"/>
      <c r="E78" s="2"/>
      <c r="F78" s="2"/>
      <c r="G78" s="2"/>
      <c r="H78" s="2"/>
      <c r="I78" s="3"/>
      <c r="J78" s="3"/>
      <c r="K78" s="3"/>
      <c r="L78" s="3"/>
      <c r="M78" s="3"/>
    </row>
    <row r="79" ht="15.6" spans="1:18">
      <c r="A79" s="7"/>
      <c r="B79" s="8"/>
      <c r="C79" s="7"/>
      <c r="D79" s="9"/>
      <c r="E79" s="9"/>
      <c r="F79" s="10"/>
      <c r="G79" s="10"/>
      <c r="H79" s="9"/>
      <c r="I79" s="10"/>
      <c r="J79" s="10"/>
      <c r="K79" s="11"/>
      <c r="L79" s="7"/>
      <c r="M79" s="3"/>
      <c r="R79" s="72"/>
    </row>
    <row r="80" ht="15.6" spans="1:18">
      <c r="A80" s="12"/>
      <c r="B80" s="13"/>
      <c r="C80" s="7"/>
      <c r="D80" s="9"/>
      <c r="E80" s="9"/>
      <c r="F80" s="10"/>
      <c r="G80" s="10"/>
      <c r="H80" s="9"/>
      <c r="I80" s="10"/>
      <c r="J80" s="10"/>
      <c r="K80" s="7"/>
      <c r="L80" s="73" t="s">
        <v>0</v>
      </c>
      <c r="M80" s="3"/>
    </row>
    <row r="81" ht="16.2" spans="1:17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</row>
    <row r="82" ht="15.6" spans="1:17">
      <c r="A82" s="14" t="s">
        <v>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4" ht="15" spans="1:17">
      <c r="C84" s="1" t="s">
        <v>2</v>
      </c>
      <c r="D84" t="s">
        <v>3</v>
      </c>
      <c r="E84" s="15"/>
    </row>
    <row r="85" spans="1:17">
      <c r="C85" s="1" t="s">
        <v>4</v>
      </c>
      <c r="D85" t="s">
        <v>3</v>
      </c>
      <c r="E85" s="65">
        <v>46287</v>
      </c>
      <c r="F85" s="17" t="s">
        <v>5</v>
      </c>
      <c r="G85" s="66">
        <v>46287</v>
      </c>
      <c r="H85" s="66"/>
      <c r="I85" s="66"/>
    </row>
    <row r="86" ht="15" customHeight="1" spans="1:17">
      <c r="C86" s="1" t="s">
        <v>6</v>
      </c>
      <c r="D86" t="s">
        <v>3</v>
      </c>
      <c r="E86" s="15" t="s">
        <v>72</v>
      </c>
    </row>
    <row r="87" ht="15" customHeight="1" spans="1:17">
      <c r="C87" s="19" t="s">
        <v>8</v>
      </c>
      <c r="D87" t="s">
        <v>3</v>
      </c>
      <c r="E87" s="20" t="s">
        <v>73</v>
      </c>
      <c r="F87" s="20"/>
      <c r="G87" s="20"/>
      <c r="H87" s="20"/>
      <c r="I87" s="20"/>
      <c r="J87" s="20"/>
      <c r="K87" s="20"/>
      <c r="L87" s="20"/>
      <c r="M87" s="20"/>
    </row>
    <row r="88" ht="15" customHeight="1" spans="1:17">
      <c r="C88"/>
      <c r="E88" s="20"/>
      <c r="F88" s="20"/>
      <c r="G88" s="20"/>
      <c r="H88" s="20"/>
      <c r="I88" s="20"/>
      <c r="J88" s="20"/>
      <c r="K88" s="20"/>
      <c r="L88" s="20"/>
      <c r="M88" s="20"/>
    </row>
    <row r="89" spans="1:17">
      <c r="C89" s="1" t="s">
        <v>11</v>
      </c>
      <c r="D89" t="s">
        <v>3</v>
      </c>
      <c r="E89" s="21" t="s">
        <v>13</v>
      </c>
      <c r="F89" s="16"/>
      <c r="G89" s="17"/>
      <c r="H89" s="18"/>
      <c r="I89" s="18"/>
      <c r="N89" s="21" t="s">
        <v>13</v>
      </c>
      <c r="O89" s="21" t="s">
        <v>14</v>
      </c>
      <c r="P89" s="21" t="s">
        <v>12</v>
      </c>
      <c r="Q89" s="21" t="s">
        <v>15</v>
      </c>
    </row>
    <row r="90" ht="15.6" spans="1:17">
      <c r="C90" s="1" t="s">
        <v>16</v>
      </c>
      <c r="D90" t="s">
        <v>3</v>
      </c>
      <c r="E90" s="22" t="s">
        <v>17</v>
      </c>
      <c r="F90" s="22"/>
      <c r="G90" s="22"/>
      <c r="H90" s="22"/>
      <c r="I90" s="22"/>
    </row>
    <row r="91" ht="15.6" spans="1:17">
      <c r="C91" s="1" t="s">
        <v>18</v>
      </c>
      <c r="D91" t="s">
        <v>3</v>
      </c>
      <c r="E91" s="23" t="s">
        <v>19</v>
      </c>
      <c r="F91" s="24"/>
    </row>
    <row r="92" spans="1:17">
      <c r="E92" s="24"/>
    </row>
    <row r="93" spans="1:17">
      <c r="A93" s="25" t="s">
        <v>20</v>
      </c>
      <c r="B93" s="26" t="s">
        <v>21</v>
      </c>
      <c r="C93" s="27"/>
      <c r="D93" s="27"/>
      <c r="E93" s="27"/>
      <c r="F93" s="27"/>
      <c r="G93" s="27"/>
      <c r="H93" s="27"/>
      <c r="I93" s="27"/>
      <c r="J93" s="28"/>
      <c r="K93" s="26" t="s">
        <v>22</v>
      </c>
      <c r="L93" s="28"/>
      <c r="M93" s="29" t="s">
        <v>23</v>
      </c>
    </row>
    <row r="94" spans="1:17">
      <c r="A94" s="30"/>
      <c r="K94" s="31"/>
      <c r="L94" s="32"/>
      <c r="M94" s="30"/>
    </row>
    <row r="95" spans="1:17">
      <c r="A95" s="33" t="s">
        <v>24</v>
      </c>
      <c r="B95" t="s">
        <v>25</v>
      </c>
      <c r="K95" s="31"/>
      <c r="L95" s="32"/>
      <c r="M95" s="30"/>
    </row>
    <row r="96" spans="1:17">
      <c r="A96" s="33"/>
      <c r="K96" s="31"/>
      <c r="L96" s="32"/>
      <c r="M96" s="30"/>
    </row>
    <row r="97" spans="1:13">
      <c r="A97" s="33"/>
      <c r="B97" s="34">
        <v>1</v>
      </c>
      <c r="C97" s="34" t="s">
        <v>26</v>
      </c>
      <c r="K97" s="31"/>
      <c r="L97" s="32"/>
      <c r="M97" s="30"/>
    </row>
    <row r="98" spans="1:13">
      <c r="A98" s="33"/>
      <c r="B98" s="34"/>
      <c r="C98" s="1" t="s">
        <v>27</v>
      </c>
      <c r="G98">
        <v>0</v>
      </c>
      <c r="H98" s="1" t="s">
        <v>28</v>
      </c>
      <c r="I98" s="35">
        <v>0</v>
      </c>
      <c r="K98" s="31" t="s">
        <v>29</v>
      </c>
      <c r="L98" s="36">
        <f t="shared" ref="L98:L100" si="13">+I98*G98</f>
        <v>0</v>
      </c>
      <c r="M98" s="37"/>
    </row>
    <row r="99" spans="1:13">
      <c r="A99" s="33"/>
      <c r="B99" s="34"/>
      <c r="C99" s="1" t="s">
        <v>30</v>
      </c>
      <c r="G99">
        <v>0</v>
      </c>
      <c r="H99" t="s">
        <v>28</v>
      </c>
      <c r="I99" s="35">
        <v>0</v>
      </c>
      <c r="J99" s="38"/>
      <c r="K99" s="31" t="s">
        <v>29</v>
      </c>
      <c r="L99" s="36">
        <f t="shared" si="13"/>
        <v>0</v>
      </c>
      <c r="M99" s="39"/>
    </row>
    <row r="100" spans="1:13">
      <c r="A100" s="33"/>
      <c r="B100" s="34"/>
      <c r="C100" s="1" t="s">
        <v>31</v>
      </c>
      <c r="G100">
        <v>0</v>
      </c>
      <c r="H100" t="s">
        <v>28</v>
      </c>
      <c r="I100" s="35">
        <v>0</v>
      </c>
      <c r="K100" s="31" t="s">
        <v>29</v>
      </c>
      <c r="L100" s="36">
        <f t="shared" si="13"/>
        <v>0</v>
      </c>
      <c r="M100" s="37"/>
    </row>
    <row r="101" spans="1:13">
      <c r="A101" s="33"/>
      <c r="B101" s="34">
        <v>2</v>
      </c>
      <c r="C101" s="34" t="s">
        <v>32</v>
      </c>
      <c r="D101" s="34"/>
      <c r="K101" s="31"/>
      <c r="L101" s="40"/>
      <c r="M101" s="30"/>
    </row>
    <row r="102" spans="1:13">
      <c r="A102" s="33"/>
      <c r="B102" s="34"/>
      <c r="C102" s="1" t="s">
        <v>33</v>
      </c>
      <c r="D102" s="41"/>
      <c r="E102">
        <v>1</v>
      </c>
      <c r="F102" t="s">
        <v>34</v>
      </c>
      <c r="G102" s="38">
        <v>1</v>
      </c>
      <c r="H102" t="s">
        <v>28</v>
      </c>
      <c r="I102" s="42">
        <v>190000</v>
      </c>
      <c r="K102" s="31" t="s">
        <v>29</v>
      </c>
      <c r="L102" s="43">
        <f t="shared" ref="L102:L104" si="14">I102*G102*E102</f>
        <v>190000</v>
      </c>
      <c r="M102" s="37"/>
    </row>
    <row r="103" spans="1:13">
      <c r="A103" s="33"/>
      <c r="B103" s="34"/>
      <c r="C103" s="1" t="s">
        <v>35</v>
      </c>
      <c r="D103" s="41"/>
      <c r="E103">
        <v>0</v>
      </c>
      <c r="F103" t="s">
        <v>34</v>
      </c>
      <c r="G103" s="38">
        <v>1</v>
      </c>
      <c r="H103" t="str">
        <f t="shared" ref="H103" si="15">+H102</f>
        <v>x Rp.</v>
      </c>
      <c r="I103" s="42">
        <v>50000</v>
      </c>
      <c r="K103" s="31" t="str">
        <f t="shared" ref="K103" si="16">+K102</f>
        <v>Rp.</v>
      </c>
      <c r="L103" s="43">
        <f t="shared" si="14"/>
        <v>0</v>
      </c>
      <c r="M103" s="37"/>
    </row>
    <row r="104" spans="1:13">
      <c r="A104" s="33"/>
      <c r="B104" s="34"/>
      <c r="C104" s="1" t="s">
        <v>36</v>
      </c>
      <c r="D104" s="41"/>
      <c r="E104">
        <v>0</v>
      </c>
      <c r="F104" t="s">
        <v>34</v>
      </c>
      <c r="G104" s="38">
        <v>1</v>
      </c>
      <c r="H104" t="str">
        <f t="shared" ref="H104" si="17">+H103</f>
        <v>x Rp.</v>
      </c>
      <c r="I104" s="42">
        <v>250000</v>
      </c>
      <c r="K104" s="31" t="str">
        <f t="shared" ref="K104" si="18">+K103</f>
        <v>Rp.</v>
      </c>
      <c r="L104" s="43">
        <f t="shared" si="14"/>
        <v>0</v>
      </c>
      <c r="M104" s="44"/>
    </row>
    <row r="105" spans="1:13">
      <c r="A105" s="33"/>
      <c r="B105" s="34">
        <v>3</v>
      </c>
      <c r="C105" s="34" t="s">
        <v>37</v>
      </c>
      <c r="D105" s="41"/>
      <c r="G105" s="38" t="s">
        <v>38</v>
      </c>
      <c r="I105" s="42"/>
      <c r="J105" s="1" t="s">
        <v>10</v>
      </c>
      <c r="K105" s="31"/>
      <c r="L105" s="40"/>
      <c r="M105" s="37"/>
    </row>
    <row r="106" spans="1:13">
      <c r="A106" s="33"/>
      <c r="B106" s="34"/>
      <c r="C106" s="1" t="s">
        <v>33</v>
      </c>
      <c r="D106" s="41"/>
      <c r="E106">
        <v>0</v>
      </c>
      <c r="F106" t="s">
        <v>34</v>
      </c>
      <c r="G106" s="38">
        <v>1</v>
      </c>
      <c r="H106" t="str">
        <f>+H104</f>
        <v>x Rp.</v>
      </c>
      <c r="I106" s="42">
        <v>0</v>
      </c>
      <c r="K106" s="31" t="s">
        <v>29</v>
      </c>
      <c r="L106" s="40">
        <f t="shared" ref="L106:L108" si="19">+E106*G106*I106</f>
        <v>0</v>
      </c>
      <c r="M106" s="39"/>
    </row>
    <row r="107" spans="1:13">
      <c r="A107" s="33"/>
      <c r="B107" s="34"/>
      <c r="C107" s="1" t="s">
        <v>35</v>
      </c>
      <c r="D107" s="41"/>
      <c r="E107">
        <v>0</v>
      </c>
      <c r="F107" t="s">
        <v>34</v>
      </c>
      <c r="G107" s="38">
        <v>1</v>
      </c>
      <c r="H107" t="str">
        <f t="shared" ref="H107" si="20">+H106</f>
        <v>x Rp.</v>
      </c>
      <c r="I107" s="42">
        <v>0</v>
      </c>
      <c r="K107" s="31" t="str">
        <f t="shared" ref="K107" si="21">+K106</f>
        <v>Rp.</v>
      </c>
      <c r="L107" s="40">
        <f t="shared" si="19"/>
        <v>0</v>
      </c>
      <c r="M107" s="37"/>
    </row>
    <row r="108" spans="1:13">
      <c r="A108" s="33"/>
      <c r="B108" s="34"/>
      <c r="C108" s="1" t="s">
        <v>36</v>
      </c>
      <c r="D108" s="41"/>
      <c r="E108">
        <v>0</v>
      </c>
      <c r="F108" t="s">
        <v>34</v>
      </c>
      <c r="G108" s="38">
        <v>1</v>
      </c>
      <c r="H108" t="s">
        <v>28</v>
      </c>
      <c r="I108" s="42">
        <v>0</v>
      </c>
      <c r="K108" s="31" t="s">
        <v>29</v>
      </c>
      <c r="L108" s="40">
        <f t="shared" si="19"/>
        <v>0</v>
      </c>
      <c r="M108" s="30"/>
    </row>
    <row r="109" spans="1:13">
      <c r="A109" s="33"/>
      <c r="B109" s="34">
        <v>4</v>
      </c>
      <c r="C109" s="34" t="s">
        <v>39</v>
      </c>
      <c r="D109" s="41"/>
      <c r="G109" s="38" t="s">
        <v>38</v>
      </c>
      <c r="I109" s="42"/>
      <c r="J109" s="1" t="s">
        <v>10</v>
      </c>
      <c r="K109" s="31"/>
      <c r="L109" s="40"/>
      <c r="M109" s="37"/>
    </row>
    <row r="110" spans="1:13">
      <c r="A110" s="33"/>
      <c r="B110" s="34"/>
      <c r="C110" s="1" t="s">
        <v>40</v>
      </c>
      <c r="D110" s="41"/>
      <c r="E110">
        <v>0</v>
      </c>
      <c r="F110" t="s">
        <v>34</v>
      </c>
      <c r="G110" s="38">
        <v>1</v>
      </c>
      <c r="H110" t="str">
        <f>+H111</f>
        <v>x Rp.</v>
      </c>
      <c r="I110" s="42">
        <v>0</v>
      </c>
      <c r="K110" s="31" t="str">
        <f>+K108</f>
        <v>Rp.</v>
      </c>
      <c r="L110" s="40">
        <f t="shared" ref="L110:L112" si="22">+E110*G110*I110</f>
        <v>0</v>
      </c>
      <c r="M110" s="45"/>
    </row>
    <row r="111" spans="1:13">
      <c r="A111" s="33"/>
      <c r="B111" s="34"/>
      <c r="C111" s="1" t="s">
        <v>41</v>
      </c>
      <c r="D111" s="41"/>
      <c r="E111">
        <v>0</v>
      </c>
      <c r="F111" t="s">
        <v>34</v>
      </c>
      <c r="G111" s="38">
        <v>1</v>
      </c>
      <c r="H111" t="str">
        <f>+H108</f>
        <v>x Rp.</v>
      </c>
      <c r="I111" s="42">
        <v>0</v>
      </c>
      <c r="K111" s="31" t="str">
        <f t="shared" ref="K111:K116" si="23">+K110</f>
        <v>Rp.</v>
      </c>
      <c r="L111" s="40">
        <f t="shared" si="22"/>
        <v>0</v>
      </c>
      <c r="M111" s="39"/>
    </row>
    <row r="112" spans="1:13">
      <c r="A112" s="33"/>
      <c r="B112" s="34"/>
      <c r="C112" s="1" t="s">
        <v>42</v>
      </c>
      <c r="D112" s="41"/>
      <c r="E112">
        <v>0</v>
      </c>
      <c r="F112" t="s">
        <v>34</v>
      </c>
      <c r="G112" s="38">
        <v>1</v>
      </c>
      <c r="H112" t="str">
        <f t="shared" ref="H112" si="24">+H111</f>
        <v>x Rp.</v>
      </c>
      <c r="I112" s="42">
        <v>0</v>
      </c>
      <c r="K112" s="31" t="str">
        <f t="shared" ref="K112" si="25">+K111</f>
        <v>Rp.</v>
      </c>
      <c r="L112" s="40">
        <f t="shared" si="22"/>
        <v>0</v>
      </c>
      <c r="M112" s="37"/>
    </row>
    <row r="113" spans="1:13">
      <c r="A113" s="33"/>
      <c r="B113" s="34">
        <v>5</v>
      </c>
      <c r="C113" s="34" t="s">
        <v>43</v>
      </c>
      <c r="D113" s="41"/>
      <c r="G113" s="38" t="s">
        <v>38</v>
      </c>
      <c r="I113" s="42"/>
      <c r="J113" s="1" t="s">
        <v>10</v>
      </c>
      <c r="K113" s="31"/>
      <c r="L113" s="40"/>
      <c r="M113" s="37"/>
    </row>
    <row r="114" spans="1:13">
      <c r="A114" s="33"/>
      <c r="B114" s="34"/>
      <c r="C114" s="1" t="s">
        <v>44</v>
      </c>
      <c r="D114" s="41"/>
      <c r="E114">
        <v>0</v>
      </c>
      <c r="F114" t="str">
        <f>+F115</f>
        <v>hari x</v>
      </c>
      <c r="G114" s="38">
        <v>1</v>
      </c>
      <c r="H114" t="str">
        <f>+H115</f>
        <v>x Rp.</v>
      </c>
      <c r="I114" s="42">
        <v>0</v>
      </c>
      <c r="K114" s="31" t="str">
        <f>+K112</f>
        <v>Rp.</v>
      </c>
      <c r="L114" s="40">
        <f t="shared" ref="L114:L116" si="26">+E114*G114*I114</f>
        <v>0</v>
      </c>
      <c r="M114" s="45"/>
    </row>
    <row r="115" spans="1:13">
      <c r="A115" s="33"/>
      <c r="B115" s="34"/>
      <c r="C115" s="1" t="s">
        <v>45</v>
      </c>
      <c r="D115" s="41"/>
      <c r="E115">
        <v>0</v>
      </c>
      <c r="F115" t="str">
        <f>+F112</f>
        <v>hari x</v>
      </c>
      <c r="G115" s="38">
        <v>1</v>
      </c>
      <c r="H115" t="str">
        <f>+H112</f>
        <v>x Rp.</v>
      </c>
      <c r="I115" s="42">
        <v>0</v>
      </c>
      <c r="K115" s="31" t="str">
        <f t="shared" si="23"/>
        <v>Rp.</v>
      </c>
      <c r="L115" s="40">
        <f t="shared" si="26"/>
        <v>0</v>
      </c>
      <c r="M115" s="39"/>
    </row>
    <row r="116" spans="1:13">
      <c r="A116" s="33"/>
      <c r="B116" s="34">
        <v>6</v>
      </c>
      <c r="C116" s="34" t="s">
        <v>46</v>
      </c>
      <c r="D116" s="41"/>
      <c r="E116">
        <v>0</v>
      </c>
      <c r="F116" t="s">
        <v>47</v>
      </c>
      <c r="G116" s="38">
        <v>1</v>
      </c>
      <c r="H116" t="str">
        <f>+H114</f>
        <v>x Rp.</v>
      </c>
      <c r="I116" s="42">
        <v>0</v>
      </c>
      <c r="K116" s="31" t="str">
        <f t="shared" si="23"/>
        <v>Rp.</v>
      </c>
      <c r="L116" s="40">
        <f t="shared" si="26"/>
        <v>0</v>
      </c>
      <c r="M116" s="37"/>
    </row>
    <row r="117" spans="1:13">
      <c r="A117" s="33"/>
      <c r="B117" s="34"/>
      <c r="D117" s="41"/>
      <c r="G117" s="38"/>
      <c r="I117" s="42"/>
      <c r="K117" s="31"/>
      <c r="L117" s="40"/>
      <c r="M117" s="30"/>
    </row>
    <row r="118" spans="1:13">
      <c r="A118" s="33"/>
      <c r="C118" s="1" t="s">
        <v>10</v>
      </c>
      <c r="D118" t="s">
        <v>10</v>
      </c>
      <c r="K118" s="31"/>
      <c r="L118" s="40"/>
      <c r="M118" s="30"/>
    </row>
    <row r="119" spans="1:13">
      <c r="A119" s="33"/>
      <c r="B119" s="34" t="s">
        <v>48</v>
      </c>
      <c r="E119" t="s">
        <v>10</v>
      </c>
      <c r="K119" s="31" t="s">
        <v>29</v>
      </c>
      <c r="L119" s="46">
        <f>SUM(L98:L116)</f>
        <v>190000</v>
      </c>
      <c r="M119" s="30"/>
    </row>
    <row r="120" spans="1:13">
      <c r="A120" s="33"/>
      <c r="D120" t="s">
        <v>10</v>
      </c>
      <c r="E120" t="s">
        <v>10</v>
      </c>
      <c r="J120" t="s">
        <v>10</v>
      </c>
      <c r="K120" s="31" t="s">
        <v>10</v>
      </c>
      <c r="L120" s="40"/>
      <c r="M120" s="30"/>
    </row>
    <row r="121" spans="1:13">
      <c r="A121" s="33" t="s">
        <v>49</v>
      </c>
      <c r="B121" s="34" t="s">
        <v>50</v>
      </c>
      <c r="K121" s="31"/>
      <c r="L121" s="40"/>
      <c r="M121" s="30"/>
    </row>
    <row r="122" spans="1:13">
      <c r="A122" s="33"/>
      <c r="B122" s="34">
        <v>1</v>
      </c>
      <c r="C122" s="34" t="s">
        <v>51</v>
      </c>
      <c r="K122" s="31"/>
      <c r="L122" s="40"/>
      <c r="M122" s="30"/>
    </row>
    <row r="123" spans="1:13">
      <c r="A123" s="33"/>
      <c r="C123" s="1" t="s">
        <v>52</v>
      </c>
      <c r="K123" s="31" t="s">
        <v>29</v>
      </c>
      <c r="L123" s="40">
        <v>0</v>
      </c>
      <c r="M123" s="30"/>
    </row>
    <row r="124" spans="1:13">
      <c r="A124" s="33"/>
      <c r="C124" s="1" t="s">
        <v>53</v>
      </c>
      <c r="K124" s="31" t="s">
        <v>29</v>
      </c>
      <c r="L124" s="40">
        <v>0</v>
      </c>
      <c r="M124" s="30"/>
    </row>
    <row r="125" spans="1:13">
      <c r="A125" s="33"/>
      <c r="C125" s="1" t="s">
        <v>54</v>
      </c>
      <c r="K125" s="31" t="s">
        <v>29</v>
      </c>
      <c r="L125" s="40">
        <v>0</v>
      </c>
      <c r="M125" s="30"/>
    </row>
    <row r="126" spans="1:13">
      <c r="A126" s="33"/>
      <c r="K126" s="31" t="s">
        <v>29</v>
      </c>
      <c r="L126" s="40">
        <v>0</v>
      </c>
      <c r="M126" s="30"/>
    </row>
    <row r="127" spans="1:13">
      <c r="A127" s="33"/>
      <c r="B127" s="34">
        <v>2</v>
      </c>
      <c r="C127" s="34" t="s">
        <v>55</v>
      </c>
      <c r="K127" s="31"/>
      <c r="L127" s="40"/>
      <c r="M127" s="30"/>
    </row>
    <row r="128" spans="1:13">
      <c r="A128" s="33"/>
      <c r="C128" s="1" t="s">
        <v>56</v>
      </c>
      <c r="D128" t="s">
        <v>57</v>
      </c>
      <c r="E128" t="s">
        <v>58</v>
      </c>
      <c r="F128" t="s">
        <v>34</v>
      </c>
      <c r="H128" t="s">
        <v>59</v>
      </c>
      <c r="I128" t="s">
        <v>60</v>
      </c>
      <c r="K128" s="31" t="s">
        <v>29</v>
      </c>
      <c r="L128" s="40">
        <v>0</v>
      </c>
      <c r="M128" s="30"/>
    </row>
    <row r="129" spans="1:13">
      <c r="A129" s="33"/>
      <c r="C129" s="1" t="s">
        <v>61</v>
      </c>
      <c r="K129" s="31"/>
      <c r="L129" s="40"/>
      <c r="M129" s="30"/>
    </row>
    <row r="130" spans="1:13">
      <c r="A130" s="33"/>
      <c r="B130" s="34">
        <v>3</v>
      </c>
      <c r="C130" s="1" t="s">
        <v>62</v>
      </c>
      <c r="K130" s="31"/>
      <c r="L130" s="40"/>
      <c r="M130" s="30"/>
    </row>
    <row r="131" spans="1:13">
      <c r="A131" s="33"/>
      <c r="B131" s="34"/>
      <c r="C131" s="1" t="s">
        <v>40</v>
      </c>
      <c r="E131">
        <v>0</v>
      </c>
      <c r="F131" t="str">
        <f>+F114</f>
        <v>hari x</v>
      </c>
      <c r="G131" s="38">
        <v>1</v>
      </c>
      <c r="H131">
        <f>+H132</f>
        <v>0</v>
      </c>
      <c r="I131" s="42">
        <v>0</v>
      </c>
      <c r="K131" s="31" t="str">
        <f>+K128</f>
        <v>Rp.</v>
      </c>
      <c r="L131" s="40">
        <f t="shared" ref="L131:L133" si="27">+E131*G131*I131</f>
        <v>0</v>
      </c>
      <c r="M131" s="30"/>
    </row>
    <row r="132" spans="1:13">
      <c r="A132" s="33"/>
      <c r="B132" s="34"/>
      <c r="C132" s="1" t="s">
        <v>41</v>
      </c>
      <c r="E132">
        <v>0</v>
      </c>
      <c r="F132" t="str">
        <f>+F131</f>
        <v>hari x</v>
      </c>
      <c r="G132" s="38">
        <v>1</v>
      </c>
      <c r="H132">
        <f>+H129</f>
        <v>0</v>
      </c>
      <c r="I132" s="42">
        <v>0</v>
      </c>
      <c r="K132" s="31" t="str">
        <f>+K131</f>
        <v>Rp.</v>
      </c>
      <c r="L132" s="40">
        <f t="shared" si="27"/>
        <v>0</v>
      </c>
      <c r="M132" s="30"/>
    </row>
    <row r="133" spans="1:13">
      <c r="A133" s="33"/>
      <c r="B133" s="34"/>
      <c r="C133" s="1" t="s">
        <v>42</v>
      </c>
      <c r="E133">
        <v>0</v>
      </c>
      <c r="F133" t="str">
        <f t="shared" ref="F133" si="28">+F132</f>
        <v>hari x</v>
      </c>
      <c r="G133" s="38">
        <v>0.5</v>
      </c>
      <c r="H133">
        <f t="shared" ref="H133" si="29">+H132</f>
        <v>0</v>
      </c>
      <c r="I133" s="42">
        <v>0</v>
      </c>
      <c r="K133" s="31" t="str">
        <f t="shared" ref="K133" si="30">+K132</f>
        <v>Rp.</v>
      </c>
      <c r="L133" s="40">
        <f t="shared" si="27"/>
        <v>0</v>
      </c>
      <c r="M133" s="30"/>
    </row>
    <row r="134" spans="1:13">
      <c r="A134" s="33"/>
      <c r="B134">
        <v>4</v>
      </c>
      <c r="C134" s="1" t="s">
        <v>63</v>
      </c>
      <c r="G134" s="41"/>
      <c r="I134" s="1" t="s">
        <v>10</v>
      </c>
      <c r="K134" s="31"/>
      <c r="L134" s="40"/>
      <c r="M134" s="30"/>
    </row>
    <row r="135" spans="1:13">
      <c r="A135" s="33"/>
      <c r="K135" s="31"/>
      <c r="L135" s="40"/>
      <c r="M135" s="30"/>
    </row>
    <row r="136" spans="1:13">
      <c r="A136" s="33"/>
      <c r="B136" s="34" t="s">
        <v>64</v>
      </c>
      <c r="C136" s="34"/>
      <c r="K136" s="31" t="s">
        <v>29</v>
      </c>
      <c r="L136" s="46">
        <f>SUM(L123:L135)</f>
        <v>0</v>
      </c>
      <c r="M136" s="30"/>
    </row>
    <row r="137" spans="1:13">
      <c r="A137" s="33"/>
      <c r="K137" s="31"/>
      <c r="L137" s="40"/>
      <c r="M137" s="30"/>
    </row>
    <row r="138" ht="15.15" spans="1:13">
      <c r="A138" s="33" t="s">
        <v>65</v>
      </c>
      <c r="B138" s="34" t="s">
        <v>66</v>
      </c>
      <c r="C138" s="34"/>
      <c r="K138" s="31" t="s">
        <v>29</v>
      </c>
      <c r="L138" s="46">
        <f>L136+L119</f>
        <v>190000</v>
      </c>
      <c r="M138" s="47"/>
    </row>
    <row r="139" spans="1:13">
      <c r="A139" s="30"/>
      <c r="G139" t="s">
        <v>10</v>
      </c>
      <c r="K139" s="48"/>
      <c r="L139" s="49"/>
      <c r="M139" s="47"/>
    </row>
    <row r="140" spans="1:13">
      <c r="A140" s="50"/>
      <c r="B140" s="51"/>
      <c r="C140" s="52"/>
      <c r="D140" s="52"/>
      <c r="E140" s="52"/>
      <c r="F140" s="53"/>
      <c r="G140" s="53"/>
      <c r="H140" s="53"/>
      <c r="I140" s="53"/>
      <c r="J140" s="54"/>
      <c r="K140" s="55"/>
      <c r="L140" s="54"/>
      <c r="M140" s="56"/>
    </row>
    <row r="141" spans="1:13">
      <c r="B141" t="s">
        <v>10</v>
      </c>
      <c r="K141" s="57"/>
      <c r="L141" s="57"/>
      <c r="M141" s="57"/>
    </row>
    <row r="142" spans="1:13">
      <c r="A142" t="s">
        <v>67</v>
      </c>
      <c r="H142" t="s">
        <v>68</v>
      </c>
    </row>
    <row r="143" spans="1:13">
      <c r="C143" s="34" t="s">
        <v>29</v>
      </c>
      <c r="D143" s="34"/>
      <c r="E143" s="58">
        <f>+L138</f>
        <v>190000</v>
      </c>
      <c r="I143" s="34" t="s">
        <v>29</v>
      </c>
      <c r="L143" s="59">
        <f>+L138</f>
        <v>190000</v>
      </c>
    </row>
    <row r="144" spans="1:13">
      <c r="A144" s="60"/>
      <c r="C144" s="34"/>
      <c r="I144" s="34"/>
    </row>
    <row r="145" spans="1:13">
      <c r="G145" t="s">
        <v>10</v>
      </c>
    </row>
    <row r="146" spans="1:13">
      <c r="B146" s="61" t="s">
        <v>69</v>
      </c>
      <c r="C146" s="61"/>
      <c r="H146" s="62" t="s">
        <v>70</v>
      </c>
      <c r="I146" s="62"/>
      <c r="J146" s="62"/>
      <c r="K146" s="62"/>
      <c r="L146" s="62"/>
    </row>
    <row r="147" spans="1:13">
      <c r="H147" s="63"/>
      <c r="I147" s="63"/>
      <c r="J147" s="63"/>
      <c r="K147" s="63"/>
      <c r="L147" s="63"/>
    </row>
    <row r="148" spans="1:13">
      <c r="H148" s="63"/>
      <c r="I148" s="63"/>
      <c r="J148" s="63"/>
      <c r="K148" s="63"/>
      <c r="L148" s="63"/>
    </row>
    <row r="149" spans="1:13">
      <c r="H149" s="63"/>
      <c r="I149" s="63"/>
      <c r="J149" s="63"/>
      <c r="K149" s="63"/>
      <c r="L149" s="63"/>
    </row>
    <row r="151" spans="1:13">
      <c r="B151" s="61" t="s">
        <v>71</v>
      </c>
      <c r="C151" s="61"/>
      <c r="H151" s="62" t="str">
        <f>E90</f>
        <v>MUH. ARDI</v>
      </c>
      <c r="I151" s="62"/>
      <c r="J151" s="62"/>
      <c r="K151" s="62"/>
      <c r="L151" s="62"/>
    </row>
    <row r="152" ht="16.2" spans="1:13">
      <c r="A152" s="2"/>
      <c r="B152" s="3"/>
      <c r="C152" s="4"/>
      <c r="D152" s="4"/>
      <c r="E152" s="4"/>
      <c r="F152" s="2"/>
      <c r="G152" s="2"/>
      <c r="H152" s="2"/>
      <c r="I152" s="3"/>
      <c r="J152" s="3"/>
      <c r="K152" s="3"/>
      <c r="L152" s="3"/>
      <c r="M152" s="3"/>
    </row>
    <row r="153" ht="16.2" spans="1:13">
      <c r="A153" s="2"/>
      <c r="B153" s="5"/>
      <c r="C153" s="4"/>
      <c r="D153" s="4"/>
      <c r="E153" s="4"/>
      <c r="F153" s="2"/>
      <c r="G153" s="2"/>
      <c r="H153" s="2"/>
      <c r="I153" s="3"/>
      <c r="J153" s="3"/>
      <c r="K153" s="3"/>
      <c r="L153" s="3"/>
      <c r="M153" s="3"/>
    </row>
    <row r="154" ht="16.2" spans="1:13">
      <c r="A154" s="2"/>
      <c r="B154" s="5"/>
      <c r="C154" s="6"/>
      <c r="D154" s="3"/>
      <c r="E154" s="2"/>
      <c r="F154" s="2"/>
      <c r="G154" s="2"/>
      <c r="H154" s="2"/>
      <c r="I154" s="3"/>
      <c r="J154" s="3"/>
      <c r="K154" s="3"/>
      <c r="L154" s="3"/>
      <c r="M154" s="3"/>
    </row>
    <row r="155" ht="15.6" spans="1:13">
      <c r="A155" s="7"/>
      <c r="B155" s="8"/>
      <c r="C155" s="7"/>
      <c r="D155" s="9"/>
      <c r="E155" s="9"/>
      <c r="F155" s="10"/>
      <c r="G155" s="10"/>
      <c r="H155" s="9"/>
      <c r="I155" s="10"/>
      <c r="J155" s="10"/>
      <c r="K155" s="11"/>
      <c r="L155" s="7"/>
      <c r="M155" s="3"/>
    </row>
    <row r="156" ht="15.6" spans="1:13">
      <c r="A156" s="12"/>
      <c r="B156" s="13"/>
      <c r="C156" s="7"/>
      <c r="D156" s="9"/>
      <c r="E156" s="9"/>
      <c r="F156" s="10"/>
      <c r="G156" s="10"/>
      <c r="H156" s="9"/>
      <c r="I156" s="10"/>
      <c r="J156" s="10"/>
      <c r="K156" s="7"/>
      <c r="L156" s="73" t="s">
        <v>0</v>
      </c>
      <c r="M156" s="3"/>
    </row>
    <row r="157" ht="16.2" spans="1:13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</row>
    <row r="158" ht="15.6" spans="1:13">
      <c r="A158" s="14" t="s">
        <v>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60" ht="15" spans="1:13">
      <c r="C160" s="1" t="s">
        <v>2</v>
      </c>
      <c r="D160" t="s">
        <v>3</v>
      </c>
      <c r="E160" s="15"/>
    </row>
    <row r="161" spans="1:13">
      <c r="C161" s="1" t="s">
        <v>4</v>
      </c>
      <c r="D161" t="s">
        <v>3</v>
      </c>
      <c r="E161" s="65">
        <v>46262</v>
      </c>
      <c r="F161" s="17"/>
      <c r="G161" s="66">
        <v>46264</v>
      </c>
      <c r="H161" s="66"/>
      <c r="I161" s="66"/>
    </row>
    <row r="162" ht="15" customHeight="1" spans="1:13">
      <c r="C162" s="1" t="s">
        <v>6</v>
      </c>
      <c r="D162" t="s">
        <v>3</v>
      </c>
      <c r="E162" s="15" t="s">
        <v>74</v>
      </c>
    </row>
    <row r="163" ht="15" customHeight="1" spans="1:13">
      <c r="C163" s="19" t="s">
        <v>8</v>
      </c>
      <c r="D163" t="s">
        <v>3</v>
      </c>
      <c r="E163" s="20" t="s">
        <v>75</v>
      </c>
      <c r="F163" s="20"/>
      <c r="G163" s="20"/>
      <c r="H163" s="20"/>
      <c r="I163" s="20"/>
      <c r="J163" s="20"/>
      <c r="K163" s="20"/>
      <c r="L163" s="20"/>
      <c r="M163" s="20"/>
    </row>
    <row r="164" spans="1:13">
      <c r="C164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3">
      <c r="C165" s="1" t="s">
        <v>11</v>
      </c>
      <c r="D165" t="s">
        <v>3</v>
      </c>
      <c r="E165" s="21" t="s">
        <v>12</v>
      </c>
      <c r="F165" s="16"/>
      <c r="G165" s="17"/>
      <c r="H165" s="18"/>
      <c r="I165" s="18"/>
    </row>
    <row r="166" ht="15.6" spans="1:13">
      <c r="C166" s="1" t="s">
        <v>16</v>
      </c>
      <c r="D166" t="s">
        <v>3</v>
      </c>
      <c r="E166" s="22" t="s">
        <v>17</v>
      </c>
      <c r="F166" s="22"/>
      <c r="G166" s="22"/>
      <c r="H166" s="22"/>
      <c r="I166" s="22"/>
    </row>
    <row r="167" ht="15.6" spans="1:13">
      <c r="C167" s="1" t="s">
        <v>18</v>
      </c>
      <c r="D167" t="s">
        <v>3</v>
      </c>
      <c r="E167" s="23" t="s">
        <v>19</v>
      </c>
      <c r="F167" s="24"/>
    </row>
    <row r="168" spans="1:13">
      <c r="E168" s="24"/>
    </row>
    <row r="169" spans="1:13">
      <c r="A169" s="25" t="s">
        <v>20</v>
      </c>
      <c r="B169" s="26" t="s">
        <v>21</v>
      </c>
      <c r="C169" s="27"/>
      <c r="D169" s="27"/>
      <c r="E169" s="27"/>
      <c r="F169" s="27"/>
      <c r="G169" s="27"/>
      <c r="H169" s="27"/>
      <c r="I169" s="27"/>
      <c r="J169" s="28"/>
      <c r="K169" s="26" t="s">
        <v>22</v>
      </c>
      <c r="L169" s="28"/>
      <c r="M169" s="29" t="s">
        <v>23</v>
      </c>
    </row>
    <row r="170" spans="1:13">
      <c r="A170" s="30"/>
      <c r="K170" s="31"/>
      <c r="L170" s="32"/>
      <c r="M170" s="30"/>
    </row>
    <row r="171" spans="1:13">
      <c r="A171" s="33" t="s">
        <v>24</v>
      </c>
      <c r="B171" t="s">
        <v>25</v>
      </c>
      <c r="K171" s="31"/>
      <c r="L171" s="32"/>
      <c r="M171" s="30"/>
    </row>
    <row r="172" spans="1:13">
      <c r="A172" s="33"/>
      <c r="K172" s="31"/>
      <c r="L172" s="32"/>
      <c r="M172" s="30"/>
    </row>
    <row r="173" spans="1:13">
      <c r="A173" s="33"/>
      <c r="B173" s="34">
        <v>1</v>
      </c>
      <c r="C173" s="34" t="s">
        <v>26</v>
      </c>
      <c r="K173" s="31"/>
      <c r="L173" s="32"/>
      <c r="M173" s="30"/>
    </row>
    <row r="174" spans="1:13">
      <c r="A174" s="33"/>
      <c r="B174" s="34"/>
      <c r="C174" s="1" t="s">
        <v>27</v>
      </c>
      <c r="G174">
        <v>0</v>
      </c>
      <c r="H174" s="1" t="s">
        <v>28</v>
      </c>
      <c r="I174" s="35">
        <v>0</v>
      </c>
      <c r="K174" s="31" t="s">
        <v>29</v>
      </c>
      <c r="L174" s="36">
        <f t="shared" ref="L174:L176" si="31">+I174*G174</f>
        <v>0</v>
      </c>
      <c r="M174" s="37"/>
    </row>
    <row r="175" spans="1:13">
      <c r="A175" s="33"/>
      <c r="B175" s="34"/>
      <c r="C175" s="1" t="s">
        <v>30</v>
      </c>
      <c r="G175">
        <v>0</v>
      </c>
      <c r="H175" t="s">
        <v>28</v>
      </c>
      <c r="I175" s="35">
        <v>0</v>
      </c>
      <c r="J175" s="38"/>
      <c r="K175" s="31" t="s">
        <v>29</v>
      </c>
      <c r="L175" s="36">
        <f t="shared" si="31"/>
        <v>0</v>
      </c>
      <c r="M175" s="39"/>
    </row>
    <row r="176" spans="1:13">
      <c r="A176" s="33"/>
      <c r="B176" s="34"/>
      <c r="C176" s="1" t="s">
        <v>31</v>
      </c>
      <c r="G176">
        <v>0</v>
      </c>
      <c r="H176" t="s">
        <v>28</v>
      </c>
      <c r="I176" s="35">
        <v>0</v>
      </c>
      <c r="K176" s="31" t="s">
        <v>29</v>
      </c>
      <c r="L176" s="36">
        <f t="shared" si="31"/>
        <v>0</v>
      </c>
      <c r="M176" s="37"/>
    </row>
    <row r="177" spans="1:13">
      <c r="A177" s="33"/>
      <c r="B177" s="34">
        <v>2</v>
      </c>
      <c r="C177" s="34" t="s">
        <v>32</v>
      </c>
      <c r="D177" s="34"/>
      <c r="K177" s="31"/>
      <c r="L177" s="40"/>
      <c r="M177" s="30"/>
    </row>
    <row r="178" spans="1:13">
      <c r="A178" s="33"/>
      <c r="B178" s="34"/>
      <c r="C178" s="1" t="s">
        <v>33</v>
      </c>
      <c r="D178" s="41"/>
      <c r="E178">
        <v>3</v>
      </c>
      <c r="F178" t="s">
        <v>34</v>
      </c>
      <c r="G178" s="38">
        <v>1</v>
      </c>
      <c r="H178" t="s">
        <v>28</v>
      </c>
      <c r="I178" s="42">
        <v>190000</v>
      </c>
      <c r="K178" s="31" t="s">
        <v>29</v>
      </c>
      <c r="L178" s="43">
        <f t="shared" ref="L178:L180" si="32">I178*G178*E178</f>
        <v>570000</v>
      </c>
      <c r="M178" s="37"/>
    </row>
    <row r="179" spans="1:13">
      <c r="A179" s="33"/>
      <c r="B179" s="34"/>
      <c r="C179" s="1" t="s">
        <v>35</v>
      </c>
      <c r="D179" s="41"/>
      <c r="E179">
        <v>2</v>
      </c>
      <c r="F179" t="s">
        <v>34</v>
      </c>
      <c r="G179" s="38">
        <v>1</v>
      </c>
      <c r="H179" t="str">
        <f t="shared" ref="H179" si="33">+H178</f>
        <v>x Rp.</v>
      </c>
      <c r="I179" s="42">
        <v>50000</v>
      </c>
      <c r="K179" s="31" t="str">
        <f t="shared" ref="K179" si="34">+K178</f>
        <v>Rp.</v>
      </c>
      <c r="L179" s="43">
        <f t="shared" si="32"/>
        <v>100000</v>
      </c>
      <c r="M179" s="37"/>
    </row>
    <row r="180" spans="1:13">
      <c r="A180" s="33"/>
      <c r="B180" s="34"/>
      <c r="C180" s="1" t="s">
        <v>36</v>
      </c>
      <c r="D180" s="41"/>
      <c r="E180">
        <v>0</v>
      </c>
      <c r="F180" t="s">
        <v>34</v>
      </c>
      <c r="G180" s="38">
        <v>1</v>
      </c>
      <c r="H180" t="str">
        <f t="shared" ref="H180" si="35">+H179</f>
        <v>x Rp.</v>
      </c>
      <c r="I180" s="42">
        <v>0</v>
      </c>
      <c r="K180" s="31" t="str">
        <f t="shared" ref="K180" si="36">+K179</f>
        <v>Rp.</v>
      </c>
      <c r="L180" s="43">
        <f t="shared" si="32"/>
        <v>0</v>
      </c>
      <c r="M180" s="44"/>
    </row>
    <row r="181" spans="1:13">
      <c r="A181" s="33"/>
      <c r="B181" s="34">
        <v>3</v>
      </c>
      <c r="C181" s="34" t="s">
        <v>37</v>
      </c>
      <c r="D181" s="41"/>
      <c r="G181" s="38" t="s">
        <v>38</v>
      </c>
      <c r="I181" s="42"/>
      <c r="J181" s="1" t="s">
        <v>10</v>
      </c>
      <c r="K181" s="31"/>
      <c r="L181" s="40"/>
      <c r="M181" s="37"/>
    </row>
    <row r="182" spans="1:13">
      <c r="A182" s="33"/>
      <c r="B182" s="34"/>
      <c r="C182" s="1" t="s">
        <v>33</v>
      </c>
      <c r="D182" s="41"/>
      <c r="E182">
        <v>0</v>
      </c>
      <c r="F182" t="s">
        <v>34</v>
      </c>
      <c r="G182" s="38">
        <v>1</v>
      </c>
      <c r="H182" t="str">
        <f>+H180</f>
        <v>x Rp.</v>
      </c>
      <c r="I182" s="42">
        <v>0</v>
      </c>
      <c r="K182" s="31" t="s">
        <v>29</v>
      </c>
      <c r="L182" s="40">
        <f t="shared" ref="L182:L184" si="37">+E182*G182*I182</f>
        <v>0</v>
      </c>
      <c r="M182" s="39"/>
    </row>
    <row r="183" spans="1:13">
      <c r="A183" s="33"/>
      <c r="B183" s="34"/>
      <c r="C183" s="1" t="s">
        <v>35</v>
      </c>
      <c r="D183" s="41"/>
      <c r="E183">
        <v>0</v>
      </c>
      <c r="F183" t="s">
        <v>34</v>
      </c>
      <c r="G183" s="38">
        <v>1</v>
      </c>
      <c r="H183" t="str">
        <f t="shared" ref="H183" si="38">+H182</f>
        <v>x Rp.</v>
      </c>
      <c r="I183" s="42">
        <v>0</v>
      </c>
      <c r="K183" s="31" t="str">
        <f t="shared" ref="K183" si="39">+K182</f>
        <v>Rp.</v>
      </c>
      <c r="L183" s="40">
        <f t="shared" si="37"/>
        <v>0</v>
      </c>
      <c r="M183" s="37"/>
    </row>
    <row r="184" spans="1:13">
      <c r="A184" s="33"/>
      <c r="B184" s="34"/>
      <c r="C184" s="1" t="s">
        <v>36</v>
      </c>
      <c r="D184" s="41"/>
      <c r="E184">
        <v>0</v>
      </c>
      <c r="F184" t="s">
        <v>34</v>
      </c>
      <c r="G184" s="38">
        <v>1</v>
      </c>
      <c r="H184" t="s">
        <v>28</v>
      </c>
      <c r="I184" s="42">
        <v>0</v>
      </c>
      <c r="K184" s="31" t="s">
        <v>29</v>
      </c>
      <c r="L184" s="40">
        <f t="shared" si="37"/>
        <v>0</v>
      </c>
      <c r="M184" s="30"/>
    </row>
    <row r="185" spans="1:13">
      <c r="A185" s="33"/>
      <c r="B185" s="34">
        <v>4</v>
      </c>
      <c r="C185" s="34" t="s">
        <v>39</v>
      </c>
      <c r="D185" s="41"/>
      <c r="G185" s="38" t="s">
        <v>38</v>
      </c>
      <c r="I185" s="42"/>
      <c r="J185" s="1" t="s">
        <v>10</v>
      </c>
      <c r="K185" s="31"/>
      <c r="L185" s="40"/>
      <c r="M185" s="37"/>
    </row>
    <row r="186" spans="1:13">
      <c r="A186" s="33"/>
      <c r="B186" s="34"/>
      <c r="C186" s="1" t="s">
        <v>40</v>
      </c>
      <c r="D186" s="41"/>
      <c r="E186">
        <v>0</v>
      </c>
      <c r="F186" t="s">
        <v>34</v>
      </c>
      <c r="G186" s="38">
        <v>1</v>
      </c>
      <c r="H186" t="str">
        <f>+H187</f>
        <v>x Rp.</v>
      </c>
      <c r="I186" s="42">
        <v>0</v>
      </c>
      <c r="K186" s="31" t="str">
        <f>+K184</f>
        <v>Rp.</v>
      </c>
      <c r="L186" s="40">
        <f t="shared" ref="L186:L188" si="40">+E186*G186*I186</f>
        <v>0</v>
      </c>
      <c r="M186" s="45"/>
    </row>
    <row r="187" spans="1:13">
      <c r="A187" s="33"/>
      <c r="B187" s="34"/>
      <c r="C187" s="1" t="s">
        <v>41</v>
      </c>
      <c r="D187" s="41"/>
      <c r="E187">
        <v>0</v>
      </c>
      <c r="F187" t="s">
        <v>34</v>
      </c>
      <c r="G187" s="38">
        <v>1</v>
      </c>
      <c r="H187" t="str">
        <f>+H184</f>
        <v>x Rp.</v>
      </c>
      <c r="I187" s="42">
        <v>0</v>
      </c>
      <c r="K187" s="31" t="str">
        <f t="shared" ref="K187:K192" si="41">+K186</f>
        <v>Rp.</v>
      </c>
      <c r="L187" s="40">
        <f t="shared" si="40"/>
        <v>0</v>
      </c>
      <c r="M187" s="39"/>
    </row>
    <row r="188" spans="1:13">
      <c r="A188" s="33"/>
      <c r="B188" s="34"/>
      <c r="C188" s="1" t="s">
        <v>42</v>
      </c>
      <c r="D188" s="41"/>
      <c r="E188">
        <v>0</v>
      </c>
      <c r="F188" t="s">
        <v>34</v>
      </c>
      <c r="G188" s="38">
        <v>1</v>
      </c>
      <c r="H188" t="str">
        <f t="shared" ref="H188" si="42">+H187</f>
        <v>x Rp.</v>
      </c>
      <c r="I188" s="42">
        <v>0</v>
      </c>
      <c r="K188" s="31" t="str">
        <f t="shared" ref="K188" si="43">+K187</f>
        <v>Rp.</v>
      </c>
      <c r="L188" s="40">
        <f t="shared" si="40"/>
        <v>0</v>
      </c>
      <c r="M188" s="37"/>
    </row>
    <row r="189" spans="1:13">
      <c r="A189" s="33"/>
      <c r="B189" s="34">
        <v>5</v>
      </c>
      <c r="C189" s="34" t="s">
        <v>43</v>
      </c>
      <c r="D189" s="41"/>
      <c r="G189" s="38" t="s">
        <v>38</v>
      </c>
      <c r="I189" s="42"/>
      <c r="J189" s="1" t="s">
        <v>10</v>
      </c>
      <c r="K189" s="31"/>
      <c r="L189" s="40"/>
      <c r="M189" s="37"/>
    </row>
    <row r="190" spans="1:13">
      <c r="A190" s="33"/>
      <c r="B190" s="34"/>
      <c r="C190" s="1" t="s">
        <v>44</v>
      </c>
      <c r="D190" s="41"/>
      <c r="E190">
        <v>0</v>
      </c>
      <c r="F190" t="str">
        <f>+F191</f>
        <v>hari x</v>
      </c>
      <c r="G190" s="38">
        <v>1</v>
      </c>
      <c r="H190" t="str">
        <f>+H191</f>
        <v>x Rp.</v>
      </c>
      <c r="I190" s="42">
        <v>0</v>
      </c>
      <c r="K190" s="31" t="str">
        <f>+K188</f>
        <v>Rp.</v>
      </c>
      <c r="L190" s="40">
        <f t="shared" ref="L190:L192" si="44">+E190*G190*I190</f>
        <v>0</v>
      </c>
      <c r="M190" s="45"/>
    </row>
    <row r="191" spans="1:13">
      <c r="A191" s="33"/>
      <c r="B191" s="34"/>
      <c r="C191" s="1" t="s">
        <v>45</v>
      </c>
      <c r="D191" s="41"/>
      <c r="E191">
        <v>0</v>
      </c>
      <c r="F191" t="str">
        <f>+F188</f>
        <v>hari x</v>
      </c>
      <c r="G191" s="38">
        <v>1</v>
      </c>
      <c r="H191" t="str">
        <f>+H188</f>
        <v>x Rp.</v>
      </c>
      <c r="I191" s="42">
        <v>0</v>
      </c>
      <c r="K191" s="31" t="str">
        <f t="shared" si="41"/>
        <v>Rp.</v>
      </c>
      <c r="L191" s="40">
        <f t="shared" si="44"/>
        <v>0</v>
      </c>
      <c r="M191" s="39"/>
    </row>
    <row r="192" spans="1:13">
      <c r="A192" s="33"/>
      <c r="B192" s="34">
        <v>6</v>
      </c>
      <c r="C192" s="34" t="s">
        <v>46</v>
      </c>
      <c r="D192" s="41"/>
      <c r="E192">
        <v>0</v>
      </c>
      <c r="F192" t="s">
        <v>47</v>
      </c>
      <c r="G192" s="38">
        <v>1</v>
      </c>
      <c r="H192" t="str">
        <f>+H190</f>
        <v>x Rp.</v>
      </c>
      <c r="I192" s="42">
        <v>0</v>
      </c>
      <c r="K192" s="31" t="str">
        <f t="shared" si="41"/>
        <v>Rp.</v>
      </c>
      <c r="L192" s="40">
        <f t="shared" si="44"/>
        <v>0</v>
      </c>
      <c r="M192" s="37"/>
    </row>
    <row r="193" spans="1:13">
      <c r="A193" s="33"/>
      <c r="B193" s="34"/>
      <c r="D193" s="41"/>
      <c r="G193" s="38"/>
      <c r="I193" s="42"/>
      <c r="K193" s="31"/>
      <c r="L193" s="40"/>
      <c r="M193" s="30"/>
    </row>
    <row r="194" spans="1:13">
      <c r="A194" s="33"/>
      <c r="C194" s="1" t="s">
        <v>10</v>
      </c>
      <c r="D194" t="s">
        <v>10</v>
      </c>
      <c r="K194" s="31"/>
      <c r="L194" s="40"/>
      <c r="M194" s="30"/>
    </row>
    <row r="195" spans="1:13">
      <c r="A195" s="33"/>
      <c r="B195" s="34" t="s">
        <v>48</v>
      </c>
      <c r="E195" t="s">
        <v>10</v>
      </c>
      <c r="K195" s="31" t="s">
        <v>29</v>
      </c>
      <c r="L195" s="46">
        <f>SUM(L174:L192)</f>
        <v>670000</v>
      </c>
      <c r="M195" s="30"/>
    </row>
    <row r="196" spans="1:13">
      <c r="A196" s="33"/>
      <c r="D196" t="s">
        <v>10</v>
      </c>
      <c r="E196" t="s">
        <v>10</v>
      </c>
      <c r="J196" t="s">
        <v>10</v>
      </c>
      <c r="K196" s="31" t="s">
        <v>10</v>
      </c>
      <c r="L196" s="40"/>
      <c r="M196" s="30"/>
    </row>
    <row r="197" spans="1:13">
      <c r="A197" s="33" t="s">
        <v>49</v>
      </c>
      <c r="B197" s="34" t="s">
        <v>50</v>
      </c>
      <c r="K197" s="31"/>
      <c r="L197" s="40"/>
      <c r="M197" s="30"/>
    </row>
    <row r="198" spans="1:13">
      <c r="A198" s="33"/>
      <c r="B198" s="34">
        <v>1</v>
      </c>
      <c r="C198" s="34" t="s">
        <v>51</v>
      </c>
      <c r="K198" s="31"/>
      <c r="L198" s="40"/>
      <c r="M198" s="30"/>
    </row>
    <row r="199" spans="1:13">
      <c r="A199" s="33"/>
      <c r="C199" s="1" t="s">
        <v>52</v>
      </c>
      <c r="K199" s="31" t="s">
        <v>29</v>
      </c>
      <c r="L199" s="40">
        <v>0</v>
      </c>
      <c r="M199" s="30"/>
    </row>
    <row r="200" spans="1:13">
      <c r="A200" s="33"/>
      <c r="C200" s="1" t="s">
        <v>53</v>
      </c>
      <c r="K200" s="31" t="s">
        <v>29</v>
      </c>
      <c r="L200" s="40">
        <v>0</v>
      </c>
      <c r="M200" s="30"/>
    </row>
    <row r="201" spans="1:13">
      <c r="A201" s="33"/>
      <c r="C201" s="1" t="s">
        <v>54</v>
      </c>
      <c r="K201" s="31" t="s">
        <v>29</v>
      </c>
      <c r="L201" s="40">
        <v>0</v>
      </c>
      <c r="M201" s="30"/>
    </row>
    <row r="202" spans="1:13">
      <c r="A202" s="33"/>
      <c r="K202" s="31" t="s">
        <v>29</v>
      </c>
      <c r="L202" s="40">
        <v>0</v>
      </c>
      <c r="M202" s="30"/>
    </row>
    <row r="203" spans="1:13">
      <c r="A203" s="33"/>
      <c r="B203" s="34">
        <v>2</v>
      </c>
      <c r="C203" s="34" t="s">
        <v>55</v>
      </c>
      <c r="K203" s="31"/>
      <c r="L203" s="40"/>
      <c r="M203" s="30"/>
    </row>
    <row r="204" spans="1:13">
      <c r="A204" s="33"/>
      <c r="C204" s="1" t="s">
        <v>56</v>
      </c>
      <c r="D204" t="s">
        <v>57</v>
      </c>
      <c r="E204" t="s">
        <v>58</v>
      </c>
      <c r="F204" t="s">
        <v>34</v>
      </c>
      <c r="H204" t="s">
        <v>59</v>
      </c>
      <c r="I204" t="s">
        <v>60</v>
      </c>
      <c r="K204" s="31" t="s">
        <v>29</v>
      </c>
      <c r="L204" s="40">
        <v>0</v>
      </c>
      <c r="M204" s="30"/>
    </row>
    <row r="205" spans="1:13">
      <c r="A205" s="33"/>
      <c r="C205" s="1" t="s">
        <v>61</v>
      </c>
      <c r="K205" s="31"/>
      <c r="L205" s="40"/>
      <c r="M205" s="30"/>
    </row>
    <row r="206" spans="1:13">
      <c r="A206" s="33"/>
      <c r="B206" s="34">
        <v>3</v>
      </c>
      <c r="C206" s="1" t="s">
        <v>62</v>
      </c>
      <c r="K206" s="31"/>
      <c r="L206" s="40"/>
      <c r="M206" s="30"/>
    </row>
    <row r="207" spans="1:13">
      <c r="A207" s="33"/>
      <c r="B207" s="34"/>
      <c r="C207" s="1" t="s">
        <v>40</v>
      </c>
      <c r="E207">
        <v>0</v>
      </c>
      <c r="F207" t="str">
        <f>+F190</f>
        <v>hari x</v>
      </c>
      <c r="G207" s="38">
        <v>1</v>
      </c>
      <c r="H207">
        <f>+H208</f>
        <v>0</v>
      </c>
      <c r="I207" s="42">
        <v>0</v>
      </c>
      <c r="K207" s="31" t="str">
        <f>+K204</f>
        <v>Rp.</v>
      </c>
      <c r="L207" s="40">
        <f t="shared" ref="L207:L209" si="45">+E207*G207*I207</f>
        <v>0</v>
      </c>
      <c r="M207" s="30"/>
    </row>
    <row r="208" spans="1:13">
      <c r="A208" s="33"/>
      <c r="B208" s="34"/>
      <c r="C208" s="1" t="s">
        <v>41</v>
      </c>
      <c r="E208">
        <v>0</v>
      </c>
      <c r="F208" t="str">
        <f>+F207</f>
        <v>hari x</v>
      </c>
      <c r="G208" s="38">
        <v>1</v>
      </c>
      <c r="H208">
        <f>+H205</f>
        <v>0</v>
      </c>
      <c r="I208" s="42">
        <v>0</v>
      </c>
      <c r="K208" s="31" t="str">
        <f>+K207</f>
        <v>Rp.</v>
      </c>
      <c r="L208" s="40">
        <f t="shared" si="45"/>
        <v>0</v>
      </c>
      <c r="M208" s="30"/>
    </row>
    <row r="209" spans="1:13">
      <c r="A209" s="33"/>
      <c r="B209" s="34"/>
      <c r="C209" s="1" t="s">
        <v>42</v>
      </c>
      <c r="E209">
        <v>0</v>
      </c>
      <c r="F209" t="str">
        <f t="shared" ref="F209" si="46">+F208</f>
        <v>hari x</v>
      </c>
      <c r="G209" s="38">
        <v>0.5</v>
      </c>
      <c r="H209">
        <f t="shared" ref="H209" si="47">+H208</f>
        <v>0</v>
      </c>
      <c r="I209" s="42">
        <v>0</v>
      </c>
      <c r="K209" s="31" t="str">
        <f t="shared" ref="K209" si="48">+K208</f>
        <v>Rp.</v>
      </c>
      <c r="L209" s="40">
        <f t="shared" si="45"/>
        <v>0</v>
      </c>
      <c r="M209" s="30"/>
    </row>
    <row r="210" spans="1:13">
      <c r="A210" s="33"/>
      <c r="B210">
        <v>4</v>
      </c>
      <c r="C210" s="1" t="s">
        <v>63</v>
      </c>
      <c r="G210" s="41"/>
      <c r="I210" s="1" t="s">
        <v>10</v>
      </c>
      <c r="K210" s="31"/>
      <c r="L210" s="40"/>
      <c r="M210" s="30"/>
    </row>
    <row r="211" spans="1:13">
      <c r="A211" s="33"/>
      <c r="K211" s="31"/>
      <c r="L211" s="40"/>
      <c r="M211" s="30"/>
    </row>
    <row r="212" spans="1:13">
      <c r="A212" s="33"/>
      <c r="B212" s="34" t="s">
        <v>64</v>
      </c>
      <c r="C212" s="34"/>
      <c r="K212" s="31" t="s">
        <v>29</v>
      </c>
      <c r="L212" s="46">
        <f>SUM(L199:L211)</f>
        <v>0</v>
      </c>
      <c r="M212" s="30"/>
    </row>
    <row r="213" spans="1:13">
      <c r="A213" s="33"/>
      <c r="K213" s="31"/>
      <c r="L213" s="40"/>
      <c r="M213" s="30"/>
    </row>
    <row r="214" ht="15.15" spans="1:13">
      <c r="A214" s="33" t="s">
        <v>65</v>
      </c>
      <c r="B214" s="34" t="s">
        <v>66</v>
      </c>
      <c r="C214" s="34"/>
      <c r="K214" s="31" t="s">
        <v>29</v>
      </c>
      <c r="L214" s="46">
        <f>L212+L195</f>
        <v>670000</v>
      </c>
      <c r="M214" s="47"/>
    </row>
    <row r="215" spans="1:13">
      <c r="A215" s="30"/>
      <c r="G215" t="s">
        <v>10</v>
      </c>
      <c r="K215" s="48"/>
      <c r="L215" s="49"/>
      <c r="M215" s="47"/>
    </row>
    <row r="216" spans="1:13">
      <c r="A216" s="50"/>
      <c r="B216" s="51"/>
      <c r="C216" s="52"/>
      <c r="D216" s="52"/>
      <c r="E216" s="52"/>
      <c r="F216" s="53"/>
      <c r="G216" s="53"/>
      <c r="H216" s="53"/>
      <c r="I216" s="53"/>
      <c r="J216" s="54"/>
      <c r="K216" s="55"/>
      <c r="L216" s="54"/>
      <c r="M216" s="56"/>
    </row>
    <row r="217" spans="1:13">
      <c r="B217" t="s">
        <v>10</v>
      </c>
      <c r="K217" s="57"/>
      <c r="L217" s="57"/>
      <c r="M217" s="57"/>
    </row>
    <row r="218" spans="1:13">
      <c r="A218" t="s">
        <v>67</v>
      </c>
      <c r="H218" t="s">
        <v>68</v>
      </c>
    </row>
    <row r="219" spans="1:13">
      <c r="B219">
        <v>1</v>
      </c>
      <c r="C219" s="34" t="s">
        <v>29</v>
      </c>
      <c r="D219" s="34"/>
      <c r="E219" s="58">
        <f>+L214</f>
        <v>670000</v>
      </c>
      <c r="H219">
        <v>1</v>
      </c>
      <c r="I219" s="34" t="s">
        <v>29</v>
      </c>
      <c r="L219" s="59">
        <f>+L214</f>
        <v>670000</v>
      </c>
    </row>
    <row r="220" spans="1:13">
      <c r="A220" s="60"/>
      <c r="C220" s="34"/>
      <c r="I220" s="34"/>
    </row>
    <row r="221" spans="1:13">
      <c r="G221" t="s">
        <v>10</v>
      </c>
    </row>
    <row r="222" spans="1:13">
      <c r="B222" s="61" t="s">
        <v>69</v>
      </c>
      <c r="C222" s="61"/>
      <c r="H222" s="62" t="s">
        <v>70</v>
      </c>
      <c r="I222" s="62"/>
      <c r="J222" s="62"/>
      <c r="K222" s="62"/>
      <c r="L222" s="62"/>
    </row>
    <row r="223" spans="1:13">
      <c r="H223" s="63"/>
      <c r="I223" s="63"/>
      <c r="J223" s="63"/>
      <c r="K223" s="63"/>
      <c r="L223" s="63"/>
    </row>
    <row r="224" spans="1:13">
      <c r="H224" s="63"/>
      <c r="I224" s="63"/>
      <c r="J224" s="63"/>
      <c r="K224" s="63"/>
      <c r="L224" s="63"/>
    </row>
    <row r="225" spans="1:13">
      <c r="H225" s="63"/>
      <c r="I225" s="63"/>
      <c r="J225" s="63"/>
      <c r="K225" s="63"/>
      <c r="L225" s="63"/>
    </row>
    <row r="227" spans="1:13">
      <c r="B227" s="61" t="s">
        <v>71</v>
      </c>
      <c r="C227" s="61"/>
      <c r="H227" s="62" t="str">
        <f>E166</f>
        <v>MUH. ARDI</v>
      </c>
      <c r="I227" s="62"/>
      <c r="J227" s="62"/>
      <c r="K227" s="62"/>
      <c r="L227" s="62"/>
    </row>
    <row r="228" ht="16.2" spans="1:13">
      <c r="A228" s="2"/>
      <c r="B228" s="3"/>
      <c r="C228" s="4"/>
      <c r="D228" s="4"/>
      <c r="E228" s="4"/>
      <c r="F228" s="2"/>
      <c r="G228" s="2"/>
      <c r="H228" s="2"/>
      <c r="I228" s="3"/>
      <c r="J228" s="3"/>
      <c r="K228" s="3"/>
      <c r="L228" s="3"/>
      <c r="M228" s="3"/>
    </row>
    <row r="229" ht="16.2" spans="1:13">
      <c r="A229" s="2"/>
      <c r="B229" s="5"/>
      <c r="C229" s="4"/>
      <c r="D229" s="4"/>
      <c r="E229" s="4"/>
      <c r="F229" s="2"/>
      <c r="G229" s="2"/>
      <c r="H229" s="2"/>
      <c r="I229" s="3"/>
      <c r="J229" s="3"/>
      <c r="K229" s="3"/>
      <c r="L229" s="3"/>
      <c r="M229" s="3"/>
    </row>
    <row r="230" ht="16.2" spans="1:13">
      <c r="A230" s="2"/>
      <c r="B230" s="5"/>
      <c r="C230" s="6"/>
      <c r="D230" s="3"/>
      <c r="E230" s="2"/>
      <c r="F230" s="2"/>
      <c r="G230" s="2"/>
      <c r="H230" s="2"/>
      <c r="I230" s="3"/>
      <c r="J230" s="3"/>
      <c r="K230" s="3"/>
      <c r="L230" s="3"/>
      <c r="M230" s="3"/>
    </row>
    <row r="231" ht="15.6" spans="1:13">
      <c r="A231" s="7"/>
      <c r="B231" s="8"/>
      <c r="C231" s="7"/>
      <c r="D231" s="9"/>
      <c r="E231" s="9"/>
      <c r="F231" s="10"/>
      <c r="G231" s="10"/>
      <c r="H231" s="9"/>
      <c r="I231" s="10"/>
      <c r="J231" s="10"/>
      <c r="K231" s="11"/>
      <c r="L231" s="7"/>
      <c r="M231" s="3"/>
    </row>
    <row r="232" ht="15.6" spans="1:13">
      <c r="A232" s="12"/>
      <c r="B232" s="13"/>
      <c r="C232" s="7"/>
      <c r="D232" s="9"/>
      <c r="E232" s="9"/>
      <c r="F232" s="10"/>
      <c r="G232" s="10"/>
      <c r="H232" s="9"/>
      <c r="I232" s="10"/>
      <c r="J232" s="10"/>
      <c r="K232" s="7"/>
      <c r="L232" s="73" t="s">
        <v>0</v>
      </c>
      <c r="M232" s="3"/>
    </row>
    <row r="233" ht="16.2" spans="1:13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</row>
    <row r="234" ht="15.6" spans="1:13">
      <c r="A234" s="14" t="s">
        <v>1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6" ht="15" spans="1:13">
      <c r="C236" s="1" t="s">
        <v>2</v>
      </c>
      <c r="D236" t="s">
        <v>3</v>
      </c>
      <c r="E236" s="15"/>
    </row>
    <row r="237" spans="1:13">
      <c r="C237" s="1" t="s">
        <v>4</v>
      </c>
      <c r="D237" t="s">
        <v>3</v>
      </c>
      <c r="E237" s="65">
        <v>46219</v>
      </c>
      <c r="F237" s="17"/>
      <c r="G237" s="66">
        <v>46219</v>
      </c>
      <c r="H237" s="66"/>
      <c r="I237" s="66"/>
    </row>
    <row r="238" ht="15" spans="1:13">
      <c r="C238" s="1" t="s">
        <v>6</v>
      </c>
      <c r="D238" t="s">
        <v>3</v>
      </c>
      <c r="E238" s="15" t="s">
        <v>76</v>
      </c>
    </row>
    <row r="239" spans="1:13">
      <c r="C239" s="19" t="s">
        <v>8</v>
      </c>
      <c r="D239" t="s">
        <v>3</v>
      </c>
      <c r="E239" s="20" t="s">
        <v>77</v>
      </c>
      <c r="F239" s="20"/>
      <c r="G239" s="20"/>
      <c r="H239" s="20"/>
      <c r="I239" s="20"/>
      <c r="J239" s="20"/>
      <c r="K239" s="20"/>
      <c r="L239" s="20"/>
      <c r="M239" s="20"/>
    </row>
    <row r="240" spans="1:13">
      <c r="C240"/>
      <c r="E240" s="20"/>
      <c r="F240" s="20"/>
      <c r="G240" s="20"/>
      <c r="H240" s="20"/>
      <c r="I240" s="20"/>
      <c r="J240" s="20"/>
      <c r="K240" s="20"/>
      <c r="L240" s="20"/>
      <c r="M240" s="20"/>
    </row>
    <row r="241" spans="1:13">
      <c r="C241" s="1" t="s">
        <v>11</v>
      </c>
      <c r="D241" t="s">
        <v>3</v>
      </c>
      <c r="E241" s="21" t="s">
        <v>13</v>
      </c>
      <c r="F241" s="16"/>
      <c r="G241" s="17"/>
      <c r="H241" s="18"/>
      <c r="I241" s="18"/>
    </row>
    <row r="242" ht="15.6" spans="1:13">
      <c r="C242" s="1" t="s">
        <v>16</v>
      </c>
      <c r="D242" t="s">
        <v>3</v>
      </c>
      <c r="E242" s="22" t="s">
        <v>17</v>
      </c>
      <c r="F242" s="22"/>
      <c r="G242" s="22"/>
      <c r="H242" s="22"/>
      <c r="I242" s="22"/>
    </row>
    <row r="243" ht="15.6" spans="1:13">
      <c r="C243" s="1" t="s">
        <v>18</v>
      </c>
      <c r="D243" t="s">
        <v>3</v>
      </c>
      <c r="E243" s="23" t="s">
        <v>19</v>
      </c>
      <c r="F243" s="24"/>
    </row>
    <row r="244" spans="1:13">
      <c r="E244" s="24"/>
    </row>
    <row r="245" spans="1:13">
      <c r="A245" s="25" t="s">
        <v>20</v>
      </c>
      <c r="B245" s="26" t="s">
        <v>21</v>
      </c>
      <c r="C245" s="27"/>
      <c r="D245" s="27"/>
      <c r="E245" s="27"/>
      <c r="F245" s="27"/>
      <c r="G245" s="27"/>
      <c r="H245" s="27"/>
      <c r="I245" s="27"/>
      <c r="J245" s="28"/>
      <c r="K245" s="26" t="s">
        <v>22</v>
      </c>
      <c r="L245" s="28"/>
      <c r="M245" s="29" t="s">
        <v>23</v>
      </c>
    </row>
    <row r="246" spans="1:13">
      <c r="A246" s="30"/>
      <c r="K246" s="31"/>
      <c r="L246" s="32"/>
      <c r="M246" s="30"/>
    </row>
    <row r="247" spans="1:13">
      <c r="A247" s="33" t="s">
        <v>24</v>
      </c>
      <c r="B247" t="s">
        <v>25</v>
      </c>
      <c r="K247" s="31"/>
      <c r="L247" s="32"/>
      <c r="M247" s="30"/>
    </row>
    <row r="248" spans="1:13">
      <c r="A248" s="33"/>
      <c r="K248" s="31"/>
      <c r="L248" s="32"/>
      <c r="M248" s="30"/>
    </row>
    <row r="249" spans="1:13">
      <c r="A249" s="33"/>
      <c r="B249" s="34">
        <v>1</v>
      </c>
      <c r="C249" s="34" t="s">
        <v>26</v>
      </c>
      <c r="K249" s="31"/>
      <c r="L249" s="32"/>
      <c r="M249" s="30"/>
    </row>
    <row r="250" spans="1:13">
      <c r="A250" s="33"/>
      <c r="B250" s="34"/>
      <c r="C250" s="1" t="s">
        <v>27</v>
      </c>
      <c r="G250">
        <v>0</v>
      </c>
      <c r="H250" s="1" t="s">
        <v>28</v>
      </c>
      <c r="I250" s="35">
        <v>0</v>
      </c>
      <c r="K250" s="31" t="s">
        <v>29</v>
      </c>
      <c r="L250" s="36">
        <f t="shared" ref="L250:L252" si="49">+I250*G250</f>
        <v>0</v>
      </c>
      <c r="M250" s="37"/>
    </row>
    <row r="251" spans="1:13">
      <c r="A251" s="33"/>
      <c r="B251" s="34"/>
      <c r="C251" s="1" t="s">
        <v>30</v>
      </c>
      <c r="G251">
        <v>0</v>
      </c>
      <c r="H251" t="s">
        <v>28</v>
      </c>
      <c r="I251" s="35">
        <v>0</v>
      </c>
      <c r="J251" s="38"/>
      <c r="K251" s="31" t="s">
        <v>29</v>
      </c>
      <c r="L251" s="36">
        <f t="shared" si="49"/>
        <v>0</v>
      </c>
      <c r="M251" s="39"/>
    </row>
    <row r="252" spans="1:13">
      <c r="A252" s="33"/>
      <c r="B252" s="34"/>
      <c r="C252" s="1" t="s">
        <v>31</v>
      </c>
      <c r="G252">
        <v>0</v>
      </c>
      <c r="H252" t="s">
        <v>28</v>
      </c>
      <c r="I252" s="35">
        <v>0</v>
      </c>
      <c r="K252" s="31" t="s">
        <v>29</v>
      </c>
      <c r="L252" s="36">
        <f t="shared" si="49"/>
        <v>0</v>
      </c>
      <c r="M252" s="37"/>
    </row>
    <row r="253" spans="1:13">
      <c r="A253" s="33"/>
      <c r="B253" s="34">
        <v>2</v>
      </c>
      <c r="C253" s="34" t="s">
        <v>32</v>
      </c>
      <c r="D253" s="34"/>
      <c r="K253" s="31"/>
      <c r="L253" s="40"/>
      <c r="M253" s="30"/>
    </row>
    <row r="254" spans="1:13">
      <c r="A254" s="33"/>
      <c r="B254" s="34"/>
      <c r="C254" s="1" t="s">
        <v>33</v>
      </c>
      <c r="D254" s="41"/>
      <c r="E254">
        <v>1</v>
      </c>
      <c r="F254" t="s">
        <v>34</v>
      </c>
      <c r="G254" s="38">
        <v>1</v>
      </c>
      <c r="H254" t="s">
        <v>28</v>
      </c>
      <c r="I254" s="42">
        <v>190000</v>
      </c>
      <c r="K254" s="31" t="s">
        <v>29</v>
      </c>
      <c r="L254" s="43">
        <f t="shared" ref="L254:L256" si="50">I254*G254*E254</f>
        <v>190000</v>
      </c>
      <c r="M254" s="37"/>
    </row>
    <row r="255" spans="1:13">
      <c r="A255" s="33"/>
      <c r="B255" s="34"/>
      <c r="C255" s="1" t="s">
        <v>35</v>
      </c>
      <c r="D255" s="41"/>
      <c r="E255">
        <v>0</v>
      </c>
      <c r="F255" t="s">
        <v>34</v>
      </c>
      <c r="G255" s="38">
        <v>1</v>
      </c>
      <c r="H255" t="str">
        <f t="shared" ref="H255:H256" si="51">+H254</f>
        <v>x Rp.</v>
      </c>
      <c r="I255" s="42">
        <v>50000</v>
      </c>
      <c r="K255" s="31" t="str">
        <f t="shared" ref="K255:K256" si="52">+K254</f>
        <v>Rp.</v>
      </c>
      <c r="L255" s="43">
        <f t="shared" si="50"/>
        <v>0</v>
      </c>
      <c r="M255" s="37"/>
    </row>
    <row r="256" spans="1:13">
      <c r="A256" s="33"/>
      <c r="B256" s="34"/>
      <c r="C256" s="1" t="s">
        <v>36</v>
      </c>
      <c r="D256" s="41"/>
      <c r="E256">
        <v>0</v>
      </c>
      <c r="F256" t="s">
        <v>34</v>
      </c>
      <c r="G256" s="38">
        <v>1</v>
      </c>
      <c r="H256" t="str">
        <f t="shared" si="51"/>
        <v>x Rp.</v>
      </c>
      <c r="I256" s="42">
        <v>0</v>
      </c>
      <c r="K256" s="31" t="str">
        <f t="shared" si="52"/>
        <v>Rp.</v>
      </c>
      <c r="L256" s="43">
        <f t="shared" si="50"/>
        <v>0</v>
      </c>
      <c r="M256" s="44"/>
    </row>
    <row r="257" spans="1:13">
      <c r="A257" s="33"/>
      <c r="B257" s="34">
        <v>3</v>
      </c>
      <c r="C257" s="34" t="s">
        <v>37</v>
      </c>
      <c r="D257" s="41"/>
      <c r="G257" s="38" t="s">
        <v>38</v>
      </c>
      <c r="I257" s="42"/>
      <c r="J257" s="1" t="s">
        <v>10</v>
      </c>
      <c r="K257" s="31"/>
      <c r="L257" s="40"/>
      <c r="M257" s="37"/>
    </row>
    <row r="258" spans="1:13">
      <c r="A258" s="33"/>
      <c r="B258" s="34"/>
      <c r="C258" s="1" t="s">
        <v>33</v>
      </c>
      <c r="D258" s="41"/>
      <c r="E258">
        <v>0</v>
      </c>
      <c r="F258" t="s">
        <v>34</v>
      </c>
      <c r="G258" s="38">
        <v>1</v>
      </c>
      <c r="H258" t="str">
        <f>+H256</f>
        <v>x Rp.</v>
      </c>
      <c r="I258" s="42">
        <v>0</v>
      </c>
      <c r="K258" s="31" t="s">
        <v>29</v>
      </c>
      <c r="L258" s="40">
        <f t="shared" ref="L258:L260" si="53">+E258*G258*I258</f>
        <v>0</v>
      </c>
      <c r="M258" s="39"/>
    </row>
    <row r="259" spans="1:13">
      <c r="A259" s="33"/>
      <c r="B259" s="34"/>
      <c r="C259" s="1" t="s">
        <v>35</v>
      </c>
      <c r="D259" s="41"/>
      <c r="E259">
        <v>0</v>
      </c>
      <c r="F259" t="s">
        <v>34</v>
      </c>
      <c r="G259" s="38">
        <v>1</v>
      </c>
      <c r="H259" t="str">
        <f t="shared" ref="H259" si="54">+H258</f>
        <v>x Rp.</v>
      </c>
      <c r="I259" s="42">
        <v>0</v>
      </c>
      <c r="K259" s="31" t="str">
        <f t="shared" ref="K259" si="55">+K258</f>
        <v>Rp.</v>
      </c>
      <c r="L259" s="40">
        <f t="shared" si="53"/>
        <v>0</v>
      </c>
      <c r="M259" s="37"/>
    </row>
    <row r="260" spans="1:13">
      <c r="A260" s="33"/>
      <c r="B260" s="34"/>
      <c r="C260" s="1" t="s">
        <v>36</v>
      </c>
      <c r="D260" s="41"/>
      <c r="E260">
        <v>0</v>
      </c>
      <c r="F260" t="s">
        <v>34</v>
      </c>
      <c r="G260" s="38">
        <v>1</v>
      </c>
      <c r="H260" t="s">
        <v>28</v>
      </c>
      <c r="I260" s="42">
        <v>0</v>
      </c>
      <c r="K260" s="31" t="s">
        <v>29</v>
      </c>
      <c r="L260" s="40">
        <f t="shared" si="53"/>
        <v>0</v>
      </c>
      <c r="M260" s="30"/>
    </row>
    <row r="261" spans="1:13">
      <c r="A261" s="33"/>
      <c r="B261" s="34">
        <v>4</v>
      </c>
      <c r="C261" s="34" t="s">
        <v>39</v>
      </c>
      <c r="D261" s="41"/>
      <c r="G261" s="38" t="s">
        <v>38</v>
      </c>
      <c r="I261" s="42"/>
      <c r="J261" s="1" t="s">
        <v>10</v>
      </c>
      <c r="K261" s="31"/>
      <c r="L261" s="40"/>
      <c r="M261" s="37"/>
    </row>
    <row r="262" spans="1:13">
      <c r="A262" s="33"/>
      <c r="B262" s="34"/>
      <c r="C262" s="1" t="s">
        <v>40</v>
      </c>
      <c r="D262" s="41"/>
      <c r="E262">
        <v>0</v>
      </c>
      <c r="F262" t="s">
        <v>34</v>
      </c>
      <c r="G262" s="38">
        <v>1</v>
      </c>
      <c r="H262" t="str">
        <f>+H263</f>
        <v>x Rp.</v>
      </c>
      <c r="I262" s="42">
        <v>0</v>
      </c>
      <c r="K262" s="31" t="str">
        <f>+K260</f>
        <v>Rp.</v>
      </c>
      <c r="L262" s="40">
        <f t="shared" ref="L262:L264" si="56">+E262*G262*I262</f>
        <v>0</v>
      </c>
      <c r="M262" s="45"/>
    </row>
    <row r="263" spans="1:13">
      <c r="A263" s="33"/>
      <c r="B263" s="34"/>
      <c r="C263" s="1" t="s">
        <v>41</v>
      </c>
      <c r="D263" s="41"/>
      <c r="E263">
        <v>0</v>
      </c>
      <c r="F263" t="s">
        <v>34</v>
      </c>
      <c r="G263" s="38">
        <v>1</v>
      </c>
      <c r="H263" t="str">
        <f>+H260</f>
        <v>x Rp.</v>
      </c>
      <c r="I263" s="42">
        <v>0</v>
      </c>
      <c r="K263" s="31" t="str">
        <f t="shared" ref="K263:K268" si="57">+K262</f>
        <v>Rp.</v>
      </c>
      <c r="L263" s="40">
        <f t="shared" si="56"/>
        <v>0</v>
      </c>
      <c r="M263" s="39"/>
    </row>
    <row r="264" spans="1:13">
      <c r="A264" s="33"/>
      <c r="B264" s="34"/>
      <c r="C264" s="1" t="s">
        <v>42</v>
      </c>
      <c r="D264" s="41"/>
      <c r="E264">
        <v>0</v>
      </c>
      <c r="F264" t="s">
        <v>34</v>
      </c>
      <c r="G264" s="38">
        <v>1</v>
      </c>
      <c r="H264" t="str">
        <f t="shared" ref="H264" si="58">+H263</f>
        <v>x Rp.</v>
      </c>
      <c r="I264" s="42">
        <v>0</v>
      </c>
      <c r="K264" s="31" t="str">
        <f t="shared" si="57"/>
        <v>Rp.</v>
      </c>
      <c r="L264" s="40">
        <f t="shared" si="56"/>
        <v>0</v>
      </c>
      <c r="M264" s="37"/>
    </row>
    <row r="265" spans="1:13">
      <c r="A265" s="33"/>
      <c r="B265" s="34">
        <v>5</v>
      </c>
      <c r="C265" s="34" t="s">
        <v>43</v>
      </c>
      <c r="D265" s="41"/>
      <c r="G265" s="38" t="s">
        <v>38</v>
      </c>
      <c r="I265" s="42"/>
      <c r="J265" s="1" t="s">
        <v>10</v>
      </c>
      <c r="K265" s="31"/>
      <c r="L265" s="40"/>
      <c r="M265" s="37"/>
    </row>
    <row r="266" spans="1:13">
      <c r="A266" s="33"/>
      <c r="B266" s="34"/>
      <c r="C266" s="1" t="s">
        <v>44</v>
      </c>
      <c r="D266" s="41"/>
      <c r="E266">
        <v>0</v>
      </c>
      <c r="F266" t="str">
        <f>+F267</f>
        <v>hari x</v>
      </c>
      <c r="G266" s="38">
        <v>1</v>
      </c>
      <c r="H266" t="str">
        <f>+H267</f>
        <v>x Rp.</v>
      </c>
      <c r="I266" s="42">
        <v>0</v>
      </c>
      <c r="K266" s="31" t="str">
        <f>+K264</f>
        <v>Rp.</v>
      </c>
      <c r="L266" s="40">
        <f t="shared" ref="L266:L268" si="59">+E266*G266*I266</f>
        <v>0</v>
      </c>
      <c r="M266" s="45"/>
    </row>
    <row r="267" spans="1:13">
      <c r="A267" s="33"/>
      <c r="B267" s="34"/>
      <c r="C267" s="1" t="s">
        <v>45</v>
      </c>
      <c r="D267" s="41"/>
      <c r="E267">
        <v>0</v>
      </c>
      <c r="F267" t="str">
        <f>+F264</f>
        <v>hari x</v>
      </c>
      <c r="G267" s="38">
        <v>1</v>
      </c>
      <c r="H267" t="str">
        <f>+H264</f>
        <v>x Rp.</v>
      </c>
      <c r="I267" s="42">
        <v>0</v>
      </c>
      <c r="K267" s="31" t="str">
        <f t="shared" si="57"/>
        <v>Rp.</v>
      </c>
      <c r="L267" s="40">
        <f t="shared" si="59"/>
        <v>0</v>
      </c>
      <c r="M267" s="39"/>
    </row>
    <row r="268" spans="1:13">
      <c r="A268" s="33"/>
      <c r="B268" s="34">
        <v>6</v>
      </c>
      <c r="C268" s="34" t="s">
        <v>46</v>
      </c>
      <c r="D268" s="41"/>
      <c r="E268">
        <v>0</v>
      </c>
      <c r="F268" t="s">
        <v>47</v>
      </c>
      <c r="G268" s="38">
        <v>1</v>
      </c>
      <c r="H268" t="str">
        <f>+H266</f>
        <v>x Rp.</v>
      </c>
      <c r="I268" s="42">
        <v>0</v>
      </c>
      <c r="K268" s="31" t="str">
        <f t="shared" si="57"/>
        <v>Rp.</v>
      </c>
      <c r="L268" s="40">
        <f t="shared" si="59"/>
        <v>0</v>
      </c>
      <c r="M268" s="37"/>
    </row>
    <row r="269" spans="1:13">
      <c r="A269" s="33"/>
      <c r="B269" s="34"/>
      <c r="D269" s="41"/>
      <c r="G269" s="38"/>
      <c r="I269" s="42"/>
      <c r="K269" s="31"/>
      <c r="L269" s="40"/>
      <c r="M269" s="30"/>
    </row>
    <row r="270" spans="1:13">
      <c r="A270" s="33"/>
      <c r="C270" s="1" t="s">
        <v>10</v>
      </c>
      <c r="D270" t="s">
        <v>10</v>
      </c>
      <c r="K270" s="31"/>
      <c r="L270" s="40"/>
      <c r="M270" s="30"/>
    </row>
    <row r="271" spans="1:13">
      <c r="A271" s="33"/>
      <c r="B271" s="34" t="s">
        <v>48</v>
      </c>
      <c r="E271" t="s">
        <v>10</v>
      </c>
      <c r="K271" s="31" t="s">
        <v>29</v>
      </c>
      <c r="L271" s="46">
        <f>SUM(L250:L268)</f>
        <v>190000</v>
      </c>
      <c r="M271" s="30"/>
    </row>
    <row r="272" spans="1:13">
      <c r="A272" s="33"/>
      <c r="D272" t="s">
        <v>10</v>
      </c>
      <c r="E272" t="s">
        <v>10</v>
      </c>
      <c r="J272" t="s">
        <v>10</v>
      </c>
      <c r="K272" s="31" t="s">
        <v>10</v>
      </c>
      <c r="L272" s="40"/>
      <c r="M272" s="30"/>
    </row>
    <row r="273" spans="1:13">
      <c r="A273" s="33" t="s">
        <v>49</v>
      </c>
      <c r="B273" s="34" t="s">
        <v>50</v>
      </c>
      <c r="K273" s="31"/>
      <c r="L273" s="40"/>
      <c r="M273" s="30"/>
    </row>
    <row r="274" spans="1:13">
      <c r="A274" s="33"/>
      <c r="B274" s="34">
        <v>1</v>
      </c>
      <c r="C274" s="34" t="s">
        <v>51</v>
      </c>
      <c r="K274" s="31"/>
      <c r="L274" s="40"/>
      <c r="M274" s="30"/>
    </row>
    <row r="275" spans="1:13">
      <c r="A275" s="33"/>
      <c r="C275" s="1" t="s">
        <v>52</v>
      </c>
      <c r="K275" s="31" t="s">
        <v>29</v>
      </c>
      <c r="L275" s="40">
        <v>0</v>
      </c>
      <c r="M275" s="30"/>
    </row>
    <row r="276" spans="1:13">
      <c r="A276" s="33"/>
      <c r="C276" s="1" t="s">
        <v>53</v>
      </c>
      <c r="K276" s="31" t="s">
        <v>29</v>
      </c>
      <c r="L276" s="40">
        <v>0</v>
      </c>
      <c r="M276" s="30"/>
    </row>
    <row r="277" spans="1:13">
      <c r="A277" s="33"/>
      <c r="C277" s="1" t="s">
        <v>54</v>
      </c>
      <c r="K277" s="31" t="s">
        <v>29</v>
      </c>
      <c r="L277" s="40">
        <v>0</v>
      </c>
      <c r="M277" s="30"/>
    </row>
    <row r="278" spans="1:13">
      <c r="A278" s="33"/>
      <c r="K278" s="31" t="s">
        <v>29</v>
      </c>
      <c r="L278" s="40">
        <v>0</v>
      </c>
      <c r="M278" s="30"/>
    </row>
    <row r="279" spans="1:13">
      <c r="A279" s="33"/>
      <c r="B279" s="34">
        <v>2</v>
      </c>
      <c r="C279" s="34" t="s">
        <v>55</v>
      </c>
      <c r="K279" s="31"/>
      <c r="L279" s="40"/>
      <c r="M279" s="30"/>
    </row>
    <row r="280" spans="1:13">
      <c r="A280" s="33"/>
      <c r="C280" s="1" t="s">
        <v>56</v>
      </c>
      <c r="D280" t="s">
        <v>57</v>
      </c>
      <c r="E280" t="s">
        <v>58</v>
      </c>
      <c r="F280" t="s">
        <v>34</v>
      </c>
      <c r="H280" t="s">
        <v>59</v>
      </c>
      <c r="I280" t="s">
        <v>60</v>
      </c>
      <c r="K280" s="31" t="s">
        <v>29</v>
      </c>
      <c r="L280" s="40">
        <v>0</v>
      </c>
      <c r="M280" s="30"/>
    </row>
    <row r="281" spans="1:13">
      <c r="A281" s="33"/>
      <c r="C281" s="1" t="s">
        <v>61</v>
      </c>
      <c r="K281" s="31"/>
      <c r="L281" s="40"/>
      <c r="M281" s="30"/>
    </row>
    <row r="282" spans="1:13">
      <c r="A282" s="33"/>
      <c r="B282" s="34">
        <v>3</v>
      </c>
      <c r="C282" s="1" t="s">
        <v>62</v>
      </c>
      <c r="K282" s="31"/>
      <c r="L282" s="40"/>
      <c r="M282" s="30"/>
    </row>
    <row r="283" spans="1:13">
      <c r="A283" s="33"/>
      <c r="B283" s="34"/>
      <c r="C283" s="1" t="s">
        <v>40</v>
      </c>
      <c r="E283">
        <v>0</v>
      </c>
      <c r="F283" t="str">
        <f>+F266</f>
        <v>hari x</v>
      </c>
      <c r="G283" s="38">
        <v>1</v>
      </c>
      <c r="H283">
        <f>+H284</f>
        <v>0</v>
      </c>
      <c r="I283" s="42">
        <v>0</v>
      </c>
      <c r="K283" s="31" t="str">
        <f>+K280</f>
        <v>Rp.</v>
      </c>
      <c r="L283" s="40">
        <f t="shared" ref="L283:L285" si="60">+E283*G283*I283</f>
        <v>0</v>
      </c>
      <c r="M283" s="30"/>
    </row>
    <row r="284" spans="1:13">
      <c r="A284" s="33"/>
      <c r="B284" s="34"/>
      <c r="C284" s="1" t="s">
        <v>41</v>
      </c>
      <c r="E284">
        <v>0</v>
      </c>
      <c r="F284" t="str">
        <f>+F283</f>
        <v>hari x</v>
      </c>
      <c r="G284" s="38">
        <v>1</v>
      </c>
      <c r="H284">
        <f>+H281</f>
        <v>0</v>
      </c>
      <c r="I284" s="42">
        <v>0</v>
      </c>
      <c r="K284" s="31" t="str">
        <f>+K283</f>
        <v>Rp.</v>
      </c>
      <c r="L284" s="40">
        <f t="shared" si="60"/>
        <v>0</v>
      </c>
      <c r="M284" s="30"/>
    </row>
    <row r="285" spans="1:13">
      <c r="A285" s="33"/>
      <c r="B285" s="34"/>
      <c r="C285" s="1" t="s">
        <v>42</v>
      </c>
      <c r="E285">
        <v>0</v>
      </c>
      <c r="F285" t="str">
        <f t="shared" ref="F285" si="61">+F284</f>
        <v>hari x</v>
      </c>
      <c r="G285" s="38">
        <v>0.5</v>
      </c>
      <c r="H285">
        <f t="shared" ref="H285" si="62">+H284</f>
        <v>0</v>
      </c>
      <c r="I285" s="42">
        <v>0</v>
      </c>
      <c r="K285" s="31" t="str">
        <f t="shared" ref="K285" si="63">+K284</f>
        <v>Rp.</v>
      </c>
      <c r="L285" s="40">
        <f t="shared" si="60"/>
        <v>0</v>
      </c>
      <c r="M285" s="30"/>
    </row>
    <row r="286" spans="1:13">
      <c r="A286" s="33"/>
      <c r="B286">
        <v>4</v>
      </c>
      <c r="C286" s="1" t="s">
        <v>63</v>
      </c>
      <c r="G286" s="41"/>
      <c r="I286" s="1" t="s">
        <v>10</v>
      </c>
      <c r="K286" s="31"/>
      <c r="L286" s="40"/>
      <c r="M286" s="30"/>
    </row>
    <row r="287" spans="1:13">
      <c r="A287" s="33"/>
      <c r="K287" s="31"/>
      <c r="L287" s="40"/>
      <c r="M287" s="30"/>
    </row>
    <row r="288" spans="1:13">
      <c r="A288" s="33"/>
      <c r="B288" s="34" t="s">
        <v>64</v>
      </c>
      <c r="C288" s="34"/>
      <c r="K288" s="31" t="s">
        <v>29</v>
      </c>
      <c r="L288" s="46">
        <f>SUM(L275:L287)</f>
        <v>0</v>
      </c>
      <c r="M288" s="30"/>
    </row>
    <row r="289" spans="1:13">
      <c r="A289" s="33"/>
      <c r="K289" s="31"/>
      <c r="L289" s="40"/>
      <c r="M289" s="30"/>
    </row>
    <row r="290" ht="15.15" spans="1:13">
      <c r="A290" s="33" t="s">
        <v>65</v>
      </c>
      <c r="B290" s="34" t="s">
        <v>66</v>
      </c>
      <c r="C290" s="34"/>
      <c r="K290" s="31" t="s">
        <v>29</v>
      </c>
      <c r="L290" s="46">
        <f>L288+L271</f>
        <v>190000</v>
      </c>
      <c r="M290" s="47"/>
    </row>
    <row r="291" spans="1:13">
      <c r="A291" s="30"/>
      <c r="G291" t="s">
        <v>10</v>
      </c>
      <c r="K291" s="48"/>
      <c r="L291" s="49"/>
      <c r="M291" s="47"/>
    </row>
    <row r="292" spans="1:13">
      <c r="A292" s="50"/>
      <c r="B292" s="51"/>
      <c r="C292" s="52"/>
      <c r="D292" s="52"/>
      <c r="E292" s="52"/>
      <c r="F292" s="53"/>
      <c r="G292" s="53"/>
      <c r="H292" s="53"/>
      <c r="I292" s="53"/>
      <c r="J292" s="54"/>
      <c r="K292" s="55"/>
      <c r="L292" s="54"/>
      <c r="M292" s="56"/>
    </row>
    <row r="293" spans="1:13">
      <c r="B293" t="s">
        <v>10</v>
      </c>
      <c r="K293" s="57"/>
      <c r="L293" s="57"/>
      <c r="M293" s="57"/>
    </row>
    <row r="294" spans="1:13">
      <c r="A294" t="s">
        <v>67</v>
      </c>
      <c r="H294" t="s">
        <v>68</v>
      </c>
    </row>
    <row r="295" spans="1:13">
      <c r="B295">
        <v>1</v>
      </c>
      <c r="C295" s="34" t="s">
        <v>29</v>
      </c>
      <c r="D295" s="34"/>
      <c r="E295" s="58">
        <f>+L290</f>
        <v>190000</v>
      </c>
      <c r="H295">
        <v>1</v>
      </c>
      <c r="I295" s="34" t="s">
        <v>29</v>
      </c>
      <c r="L295" s="59">
        <f>+L290</f>
        <v>190000</v>
      </c>
    </row>
    <row r="296" spans="1:13">
      <c r="A296" s="60"/>
      <c r="C296" s="34"/>
      <c r="I296" s="34"/>
    </row>
    <row r="297" spans="1:13">
      <c r="G297" t="s">
        <v>10</v>
      </c>
    </row>
    <row r="298" spans="1:13">
      <c r="B298" s="61" t="s">
        <v>69</v>
      </c>
      <c r="C298" s="61"/>
      <c r="H298" s="62" t="s">
        <v>70</v>
      </c>
      <c r="I298" s="62"/>
      <c r="J298" s="62"/>
      <c r="K298" s="62"/>
      <c r="L298" s="62"/>
    </row>
    <row r="299" spans="1:13">
      <c r="H299" s="63"/>
      <c r="I299" s="63"/>
      <c r="J299" s="63"/>
      <c r="K299" s="63"/>
      <c r="L299" s="63"/>
    </row>
    <row r="300" spans="1:13">
      <c r="H300" s="63"/>
      <c r="I300" s="63"/>
      <c r="J300" s="63"/>
      <c r="K300" s="63"/>
      <c r="L300" s="63"/>
    </row>
    <row r="301" spans="1:13">
      <c r="H301" s="63"/>
      <c r="I301" s="63"/>
      <c r="J301" s="63"/>
      <c r="K301" s="63"/>
      <c r="L301" s="63"/>
    </row>
    <row r="303" spans="1:13">
      <c r="B303" s="61" t="s">
        <v>71</v>
      </c>
      <c r="C303" s="61"/>
      <c r="H303" s="62" t="str">
        <f>E242</f>
        <v>MUH. ARDI</v>
      </c>
      <c r="I303" s="62"/>
      <c r="J303" s="62"/>
      <c r="K303" s="62"/>
      <c r="L303" s="62"/>
    </row>
    <row r="304" ht="16.2" spans="1:13">
      <c r="A304" s="2"/>
      <c r="B304" s="3"/>
      <c r="C304" s="4"/>
      <c r="D304" s="4"/>
      <c r="E304" s="4"/>
      <c r="F304" s="2"/>
      <c r="G304" s="2"/>
      <c r="H304" s="2"/>
      <c r="I304" s="3"/>
      <c r="J304" s="3"/>
      <c r="K304" s="3"/>
      <c r="L304" s="3"/>
      <c r="M304" s="3"/>
    </row>
    <row r="305" ht="16.2" spans="1:13">
      <c r="A305" s="2"/>
      <c r="B305" s="5"/>
      <c r="C305" s="4"/>
      <c r="D305" s="4"/>
      <c r="E305" s="4"/>
      <c r="F305" s="2"/>
      <c r="G305" s="2"/>
      <c r="H305" s="2"/>
      <c r="I305" s="3"/>
      <c r="J305" s="3"/>
      <c r="K305" s="3"/>
      <c r="L305" s="3"/>
      <c r="M305" s="3"/>
    </row>
    <row r="306" ht="16.2" spans="1:13">
      <c r="A306" s="2"/>
      <c r="B306" s="5"/>
      <c r="C306" s="6"/>
      <c r="D306" s="3"/>
      <c r="E306" s="2"/>
      <c r="F306" s="2"/>
      <c r="G306" s="2"/>
      <c r="H306" s="2"/>
      <c r="I306" s="3"/>
      <c r="J306" s="3"/>
      <c r="K306" s="3"/>
      <c r="L306" s="3"/>
      <c r="M306" s="3"/>
    </row>
    <row r="307" ht="15.6" spans="1:13">
      <c r="A307" s="7"/>
      <c r="B307" s="8"/>
      <c r="C307" s="7"/>
      <c r="D307" s="9"/>
      <c r="E307" s="9"/>
      <c r="F307" s="10"/>
      <c r="G307" s="10"/>
      <c r="H307" s="9"/>
      <c r="I307" s="10"/>
      <c r="J307" s="10"/>
      <c r="K307" s="11"/>
      <c r="L307" s="7"/>
      <c r="M307" s="3"/>
    </row>
    <row r="308" ht="15.6" spans="1:13">
      <c r="A308" s="12"/>
      <c r="B308" s="13"/>
      <c r="C308" s="7"/>
      <c r="D308" s="9"/>
      <c r="E308" s="9"/>
      <c r="F308" s="10"/>
      <c r="G308" s="10"/>
      <c r="H308" s="9"/>
      <c r="I308" s="10"/>
      <c r="J308" s="10"/>
      <c r="K308" s="7"/>
      <c r="L308" s="73" t="s">
        <v>0</v>
      </c>
      <c r="M308" s="3"/>
    </row>
    <row r="309" ht="16.2" spans="1:13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3"/>
      <c r="L309" s="3"/>
      <c r="M309" s="3"/>
    </row>
    <row r="310" ht="15.6" spans="1:13">
      <c r="A310" s="14" t="s">
        <v>1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2" ht="15" spans="1:13">
      <c r="C312" s="1" t="s">
        <v>2</v>
      </c>
      <c r="D312" t="s">
        <v>3</v>
      </c>
      <c r="E312" s="15"/>
    </row>
    <row r="313" spans="1:13">
      <c r="C313" s="1" t="s">
        <v>4</v>
      </c>
      <c r="D313" t="s">
        <v>3</v>
      </c>
      <c r="E313" s="65">
        <v>46220</v>
      </c>
      <c r="F313" s="17"/>
      <c r="G313" s="66">
        <v>46221</v>
      </c>
      <c r="H313" s="66"/>
      <c r="I313" s="66"/>
    </row>
    <row r="314" ht="15" spans="1:13">
      <c r="C314" s="1" t="s">
        <v>6</v>
      </c>
      <c r="D314" t="s">
        <v>3</v>
      </c>
      <c r="E314" s="15" t="s">
        <v>76</v>
      </c>
    </row>
    <row r="315" spans="1:13">
      <c r="C315" s="19" t="s">
        <v>8</v>
      </c>
      <c r="D315" t="s">
        <v>3</v>
      </c>
      <c r="E315" s="20" t="s">
        <v>78</v>
      </c>
      <c r="F315" s="20"/>
      <c r="G315" s="20"/>
      <c r="H315" s="20"/>
      <c r="I315" s="20"/>
      <c r="J315" s="20"/>
      <c r="K315" s="20"/>
      <c r="L315" s="20"/>
      <c r="M315" s="20"/>
    </row>
    <row r="316" spans="1:13">
      <c r="C316"/>
      <c r="E316" s="20"/>
      <c r="F316" s="20"/>
      <c r="G316" s="20"/>
      <c r="H316" s="20"/>
      <c r="I316" s="20"/>
      <c r="J316" s="20"/>
      <c r="K316" s="20"/>
      <c r="L316" s="20"/>
      <c r="M316" s="20"/>
    </row>
    <row r="317" spans="1:13">
      <c r="C317" s="1" t="s">
        <v>11</v>
      </c>
      <c r="D317" t="s">
        <v>3</v>
      </c>
      <c r="E317" s="21" t="s">
        <v>14</v>
      </c>
      <c r="F317" s="16"/>
      <c r="G317" s="17"/>
      <c r="H317" s="18"/>
      <c r="I317" s="18"/>
    </row>
    <row r="318" ht="15.6" spans="1:13">
      <c r="C318" s="1" t="s">
        <v>16</v>
      </c>
      <c r="D318" t="s">
        <v>3</v>
      </c>
      <c r="E318" s="22" t="s">
        <v>17</v>
      </c>
      <c r="F318" s="22"/>
      <c r="G318" s="22"/>
      <c r="H318" s="22"/>
      <c r="I318" s="22"/>
    </row>
    <row r="319" ht="15.6" spans="1:13">
      <c r="C319" s="1" t="s">
        <v>18</v>
      </c>
      <c r="D319" t="s">
        <v>3</v>
      </c>
      <c r="E319" s="23" t="s">
        <v>19</v>
      </c>
      <c r="F319" s="24"/>
    </row>
    <row r="320" spans="1:13">
      <c r="E320" s="24"/>
    </row>
    <row r="321" spans="1:13">
      <c r="A321" s="25" t="s">
        <v>20</v>
      </c>
      <c r="B321" s="26" t="s">
        <v>21</v>
      </c>
      <c r="C321" s="27"/>
      <c r="D321" s="27"/>
      <c r="E321" s="27"/>
      <c r="F321" s="27"/>
      <c r="G321" s="27"/>
      <c r="H321" s="27"/>
      <c r="I321" s="27"/>
      <c r="J321" s="28"/>
      <c r="K321" s="26" t="s">
        <v>22</v>
      </c>
      <c r="L321" s="28"/>
      <c r="M321" s="29" t="s">
        <v>23</v>
      </c>
    </row>
    <row r="322" spans="1:13">
      <c r="A322" s="30"/>
      <c r="K322" s="31"/>
      <c r="L322" s="32"/>
      <c r="M322" s="30"/>
    </row>
    <row r="323" spans="1:13">
      <c r="A323" s="33" t="s">
        <v>24</v>
      </c>
      <c r="B323" t="s">
        <v>25</v>
      </c>
      <c r="K323" s="31"/>
      <c r="L323" s="32"/>
      <c r="M323" s="30"/>
    </row>
    <row r="324" spans="1:13">
      <c r="A324" s="33"/>
      <c r="K324" s="31"/>
      <c r="L324" s="32"/>
      <c r="M324" s="30"/>
    </row>
    <row r="325" spans="1:13">
      <c r="A325" s="33"/>
      <c r="B325" s="34">
        <v>1</v>
      </c>
      <c r="C325" s="34" t="s">
        <v>26</v>
      </c>
      <c r="K325" s="31"/>
      <c r="L325" s="32"/>
      <c r="M325" s="30"/>
    </row>
    <row r="326" spans="1:13">
      <c r="A326" s="33"/>
      <c r="B326" s="34"/>
      <c r="C326" s="1" t="s">
        <v>27</v>
      </c>
      <c r="G326">
        <v>0</v>
      </c>
      <c r="H326" s="1" t="s">
        <v>28</v>
      </c>
      <c r="I326" s="35">
        <v>0</v>
      </c>
      <c r="K326" s="31" t="s">
        <v>29</v>
      </c>
      <c r="L326" s="36">
        <f t="shared" ref="L326:L328" si="64">+I326*G326</f>
        <v>0</v>
      </c>
      <c r="M326" s="37"/>
    </row>
    <row r="327" spans="1:13">
      <c r="A327" s="33"/>
      <c r="B327" s="34"/>
      <c r="C327" s="1" t="s">
        <v>30</v>
      </c>
      <c r="G327">
        <v>0</v>
      </c>
      <c r="H327" t="s">
        <v>28</v>
      </c>
      <c r="I327" s="35">
        <v>0</v>
      </c>
      <c r="J327" s="38"/>
      <c r="K327" s="31" t="s">
        <v>29</v>
      </c>
      <c r="L327" s="36">
        <f t="shared" si="64"/>
        <v>0</v>
      </c>
      <c r="M327" s="39"/>
    </row>
    <row r="328" spans="1:13">
      <c r="A328" s="33"/>
      <c r="B328" s="34"/>
      <c r="C328" s="1" t="s">
        <v>31</v>
      </c>
      <c r="G328">
        <v>0</v>
      </c>
      <c r="H328" t="s">
        <v>28</v>
      </c>
      <c r="I328" s="35">
        <v>0</v>
      </c>
      <c r="K328" s="31" t="s">
        <v>29</v>
      </c>
      <c r="L328" s="36">
        <f t="shared" si="64"/>
        <v>0</v>
      </c>
      <c r="M328" s="37"/>
    </row>
    <row r="329" spans="1:13">
      <c r="A329" s="33"/>
      <c r="B329" s="34">
        <v>2</v>
      </c>
      <c r="C329" s="34" t="s">
        <v>32</v>
      </c>
      <c r="D329" s="34"/>
      <c r="K329" s="31"/>
      <c r="L329" s="40"/>
      <c r="M329" s="30"/>
    </row>
    <row r="330" spans="1:13">
      <c r="A330" s="33"/>
      <c r="B330" s="34"/>
      <c r="C330" s="1" t="s">
        <v>33</v>
      </c>
      <c r="D330" s="41"/>
      <c r="E330">
        <v>2</v>
      </c>
      <c r="F330" t="s">
        <v>34</v>
      </c>
      <c r="G330" s="38">
        <v>1</v>
      </c>
      <c r="H330" t="s">
        <v>28</v>
      </c>
      <c r="I330" s="42">
        <v>190000</v>
      </c>
      <c r="K330" s="31" t="s">
        <v>29</v>
      </c>
      <c r="L330" s="43">
        <f t="shared" ref="L330:L332" si="65">I330*G330*E330</f>
        <v>380000</v>
      </c>
      <c r="M330" s="37"/>
    </row>
    <row r="331" spans="1:13">
      <c r="A331" s="33"/>
      <c r="B331" s="34"/>
      <c r="C331" s="1" t="s">
        <v>35</v>
      </c>
      <c r="D331" s="41"/>
      <c r="E331">
        <v>1</v>
      </c>
      <c r="F331" t="s">
        <v>34</v>
      </c>
      <c r="G331" s="38">
        <v>1</v>
      </c>
      <c r="H331" t="str">
        <f t="shared" ref="H331:H332" si="66">+H330</f>
        <v>x Rp.</v>
      </c>
      <c r="I331" s="42">
        <v>50000</v>
      </c>
      <c r="K331" s="31" t="str">
        <f t="shared" ref="K331:K332" si="67">+K330</f>
        <v>Rp.</v>
      </c>
      <c r="L331" s="43">
        <f t="shared" si="65"/>
        <v>50000</v>
      </c>
      <c r="M331" s="37"/>
    </row>
    <row r="332" spans="1:13">
      <c r="A332" s="33"/>
      <c r="B332" s="34"/>
      <c r="C332" s="1" t="s">
        <v>36</v>
      </c>
      <c r="D332" s="41"/>
      <c r="E332">
        <v>0</v>
      </c>
      <c r="F332" t="s">
        <v>34</v>
      </c>
      <c r="G332" s="38">
        <v>1</v>
      </c>
      <c r="H332" t="str">
        <f t="shared" si="66"/>
        <v>x Rp.</v>
      </c>
      <c r="I332" s="42">
        <v>0</v>
      </c>
      <c r="K332" s="31" t="str">
        <f t="shared" si="67"/>
        <v>Rp.</v>
      </c>
      <c r="L332" s="43">
        <f t="shared" si="65"/>
        <v>0</v>
      </c>
      <c r="M332" s="44"/>
    </row>
    <row r="333" spans="1:13">
      <c r="A333" s="33"/>
      <c r="B333" s="34">
        <v>3</v>
      </c>
      <c r="C333" s="34" t="s">
        <v>37</v>
      </c>
      <c r="D333" s="41"/>
      <c r="G333" s="38" t="s">
        <v>38</v>
      </c>
      <c r="I333" s="42"/>
      <c r="J333" s="1" t="s">
        <v>10</v>
      </c>
      <c r="K333" s="31"/>
      <c r="L333" s="40"/>
      <c r="M333" s="37"/>
    </row>
    <row r="334" spans="1:13">
      <c r="A334" s="33"/>
      <c r="B334" s="34"/>
      <c r="C334" s="1" t="s">
        <v>33</v>
      </c>
      <c r="D334" s="41"/>
      <c r="E334">
        <v>0</v>
      </c>
      <c r="F334" t="s">
        <v>34</v>
      </c>
      <c r="G334" s="38">
        <v>1</v>
      </c>
      <c r="H334" t="str">
        <f>+H332</f>
        <v>x Rp.</v>
      </c>
      <c r="I334" s="42">
        <v>0</v>
      </c>
      <c r="K334" s="31" t="s">
        <v>29</v>
      </c>
      <c r="L334" s="40">
        <f t="shared" ref="L334:L336" si="68">+E334*G334*I334</f>
        <v>0</v>
      </c>
      <c r="M334" s="39"/>
    </row>
    <row r="335" spans="1:13">
      <c r="A335" s="33"/>
      <c r="B335" s="34"/>
      <c r="C335" s="1" t="s">
        <v>35</v>
      </c>
      <c r="D335" s="41"/>
      <c r="E335">
        <v>0</v>
      </c>
      <c r="F335" t="s">
        <v>34</v>
      </c>
      <c r="G335" s="38">
        <v>1</v>
      </c>
      <c r="H335" t="str">
        <f t="shared" ref="H335" si="69">+H334</f>
        <v>x Rp.</v>
      </c>
      <c r="I335" s="42">
        <v>0</v>
      </c>
      <c r="K335" s="31" t="str">
        <f t="shared" ref="K335" si="70">+K334</f>
        <v>Rp.</v>
      </c>
      <c r="L335" s="40">
        <f t="shared" si="68"/>
        <v>0</v>
      </c>
      <c r="M335" s="37"/>
    </row>
    <row r="336" spans="1:13">
      <c r="A336" s="33"/>
      <c r="B336" s="34"/>
      <c r="C336" s="1" t="s">
        <v>36</v>
      </c>
      <c r="D336" s="41"/>
      <c r="E336">
        <v>0</v>
      </c>
      <c r="F336" t="s">
        <v>34</v>
      </c>
      <c r="G336" s="38">
        <v>1</v>
      </c>
      <c r="H336" t="s">
        <v>28</v>
      </c>
      <c r="I336" s="42">
        <v>0</v>
      </c>
      <c r="K336" s="31" t="s">
        <v>29</v>
      </c>
      <c r="L336" s="40">
        <f t="shared" si="68"/>
        <v>0</v>
      </c>
      <c r="M336" s="30"/>
    </row>
    <row r="337" spans="1:13">
      <c r="A337" s="33"/>
      <c r="B337" s="34">
        <v>4</v>
      </c>
      <c r="C337" s="34" t="s">
        <v>39</v>
      </c>
      <c r="D337" s="41"/>
      <c r="G337" s="38" t="s">
        <v>38</v>
      </c>
      <c r="I337" s="42"/>
      <c r="J337" s="1" t="s">
        <v>10</v>
      </c>
      <c r="K337" s="31"/>
      <c r="L337" s="40"/>
      <c r="M337" s="37"/>
    </row>
    <row r="338" spans="1:13">
      <c r="A338" s="33"/>
      <c r="B338" s="34"/>
      <c r="C338" s="1" t="s">
        <v>40</v>
      </c>
      <c r="D338" s="41"/>
      <c r="E338">
        <v>0</v>
      </c>
      <c r="F338" t="s">
        <v>34</v>
      </c>
      <c r="G338" s="38">
        <v>1</v>
      </c>
      <c r="H338" t="str">
        <f>+H339</f>
        <v>x Rp.</v>
      </c>
      <c r="I338" s="42">
        <v>0</v>
      </c>
      <c r="K338" s="31" t="str">
        <f>+K336</f>
        <v>Rp.</v>
      </c>
      <c r="L338" s="40">
        <f t="shared" ref="L338:L340" si="71">+E338*G338*I338</f>
        <v>0</v>
      </c>
      <c r="M338" s="45"/>
    </row>
    <row r="339" spans="1:13">
      <c r="A339" s="33"/>
      <c r="B339" s="34"/>
      <c r="C339" s="1" t="s">
        <v>41</v>
      </c>
      <c r="D339" s="41"/>
      <c r="E339">
        <v>0</v>
      </c>
      <c r="F339" t="s">
        <v>34</v>
      </c>
      <c r="G339" s="38">
        <v>1</v>
      </c>
      <c r="H339" t="str">
        <f>+H336</f>
        <v>x Rp.</v>
      </c>
      <c r="I339" s="42">
        <v>0</v>
      </c>
      <c r="K339" s="31" t="str">
        <f t="shared" ref="K339:K344" si="72">+K338</f>
        <v>Rp.</v>
      </c>
      <c r="L339" s="40">
        <f t="shared" si="71"/>
        <v>0</v>
      </c>
      <c r="M339" s="39"/>
    </row>
    <row r="340" spans="1:13">
      <c r="A340" s="33"/>
      <c r="B340" s="34"/>
      <c r="C340" s="1" t="s">
        <v>42</v>
      </c>
      <c r="D340" s="41"/>
      <c r="E340">
        <v>0</v>
      </c>
      <c r="F340" t="s">
        <v>34</v>
      </c>
      <c r="G340" s="38">
        <v>1</v>
      </c>
      <c r="H340" t="str">
        <f t="shared" ref="H340" si="73">+H339</f>
        <v>x Rp.</v>
      </c>
      <c r="I340" s="42">
        <v>0</v>
      </c>
      <c r="K340" s="31" t="str">
        <f t="shared" si="72"/>
        <v>Rp.</v>
      </c>
      <c r="L340" s="40">
        <f t="shared" si="71"/>
        <v>0</v>
      </c>
      <c r="M340" s="37"/>
    </row>
    <row r="341" spans="1:13">
      <c r="A341" s="33"/>
      <c r="B341" s="34">
        <v>5</v>
      </c>
      <c r="C341" s="34" t="s">
        <v>43</v>
      </c>
      <c r="D341" s="41"/>
      <c r="G341" s="38" t="s">
        <v>38</v>
      </c>
      <c r="I341" s="42"/>
      <c r="J341" s="1" t="s">
        <v>10</v>
      </c>
      <c r="K341" s="31"/>
      <c r="L341" s="40"/>
      <c r="M341" s="37"/>
    </row>
    <row r="342" spans="1:13">
      <c r="A342" s="33"/>
      <c r="B342" s="34"/>
      <c r="C342" s="1" t="s">
        <v>44</v>
      </c>
      <c r="D342" s="41"/>
      <c r="E342">
        <v>0</v>
      </c>
      <c r="F342" t="str">
        <f>+F343</f>
        <v>hari x</v>
      </c>
      <c r="G342" s="38">
        <v>1</v>
      </c>
      <c r="H342" t="str">
        <f>+H343</f>
        <v>x Rp.</v>
      </c>
      <c r="I342" s="42">
        <v>0</v>
      </c>
      <c r="K342" s="31" t="str">
        <f>+K340</f>
        <v>Rp.</v>
      </c>
      <c r="L342" s="40">
        <f t="shared" ref="L342:L344" si="74">+E342*G342*I342</f>
        <v>0</v>
      </c>
      <c r="M342" s="45"/>
    </row>
    <row r="343" spans="1:13">
      <c r="A343" s="33"/>
      <c r="B343" s="34"/>
      <c r="C343" s="1" t="s">
        <v>45</v>
      </c>
      <c r="D343" s="41"/>
      <c r="E343">
        <v>0</v>
      </c>
      <c r="F343" t="str">
        <f>+F340</f>
        <v>hari x</v>
      </c>
      <c r="G343" s="38">
        <v>1</v>
      </c>
      <c r="H343" t="str">
        <f>+H340</f>
        <v>x Rp.</v>
      </c>
      <c r="I343" s="42">
        <v>0</v>
      </c>
      <c r="K343" s="31" t="str">
        <f t="shared" si="72"/>
        <v>Rp.</v>
      </c>
      <c r="L343" s="40">
        <f t="shared" si="74"/>
        <v>0</v>
      </c>
      <c r="M343" s="39"/>
    </row>
    <row r="344" spans="1:13">
      <c r="A344" s="33"/>
      <c r="B344" s="34">
        <v>6</v>
      </c>
      <c r="C344" s="34" t="s">
        <v>46</v>
      </c>
      <c r="D344" s="41"/>
      <c r="E344">
        <v>0</v>
      </c>
      <c r="F344" t="s">
        <v>47</v>
      </c>
      <c r="G344" s="38">
        <v>1</v>
      </c>
      <c r="H344" t="str">
        <f>+H342</f>
        <v>x Rp.</v>
      </c>
      <c r="I344" s="42">
        <v>0</v>
      </c>
      <c r="K344" s="31" t="str">
        <f t="shared" si="72"/>
        <v>Rp.</v>
      </c>
      <c r="L344" s="40">
        <f t="shared" si="74"/>
        <v>0</v>
      </c>
      <c r="M344" s="37"/>
    </row>
    <row r="345" spans="1:13">
      <c r="A345" s="33"/>
      <c r="B345" s="34"/>
      <c r="D345" s="41"/>
      <c r="G345" s="38"/>
      <c r="I345" s="42"/>
      <c r="K345" s="31"/>
      <c r="L345" s="40"/>
      <c r="M345" s="30"/>
    </row>
    <row r="346" spans="1:13">
      <c r="A346" s="33"/>
      <c r="C346" s="1" t="s">
        <v>10</v>
      </c>
      <c r="D346" t="s">
        <v>10</v>
      </c>
      <c r="K346" s="31"/>
      <c r="L346" s="40"/>
      <c r="M346" s="30"/>
    </row>
    <row r="347" spans="1:13">
      <c r="A347" s="33"/>
      <c r="B347" s="34" t="s">
        <v>48</v>
      </c>
      <c r="E347" t="s">
        <v>10</v>
      </c>
      <c r="K347" s="31" t="s">
        <v>29</v>
      </c>
      <c r="L347" s="46">
        <f>SUM(L326:L344)</f>
        <v>430000</v>
      </c>
      <c r="M347" s="30"/>
    </row>
    <row r="348" spans="1:13">
      <c r="A348" s="33"/>
      <c r="D348" t="s">
        <v>10</v>
      </c>
      <c r="E348" t="s">
        <v>10</v>
      </c>
      <c r="J348" t="s">
        <v>10</v>
      </c>
      <c r="K348" s="31" t="s">
        <v>10</v>
      </c>
      <c r="L348" s="40"/>
      <c r="M348" s="30"/>
    </row>
    <row r="349" spans="1:13">
      <c r="A349" s="33" t="s">
        <v>49</v>
      </c>
      <c r="B349" s="34" t="s">
        <v>50</v>
      </c>
      <c r="K349" s="31"/>
      <c r="L349" s="40"/>
      <c r="M349" s="30"/>
    </row>
    <row r="350" spans="1:13">
      <c r="A350" s="33"/>
      <c r="B350" s="34">
        <v>1</v>
      </c>
      <c r="C350" s="34" t="s">
        <v>51</v>
      </c>
      <c r="K350" s="31"/>
      <c r="L350" s="40"/>
      <c r="M350" s="30"/>
    </row>
    <row r="351" spans="1:13">
      <c r="A351" s="33"/>
      <c r="C351" s="1" t="s">
        <v>52</v>
      </c>
      <c r="K351" s="31" t="s">
        <v>29</v>
      </c>
      <c r="L351" s="40">
        <v>0</v>
      </c>
      <c r="M351" s="30"/>
    </row>
    <row r="352" spans="1:13">
      <c r="A352" s="33"/>
      <c r="C352" s="1" t="s">
        <v>53</v>
      </c>
      <c r="K352" s="31" t="s">
        <v>29</v>
      </c>
      <c r="L352" s="40">
        <v>0</v>
      </c>
      <c r="M352" s="30"/>
    </row>
    <row r="353" spans="1:13">
      <c r="A353" s="33"/>
      <c r="C353" s="1" t="s">
        <v>54</v>
      </c>
      <c r="K353" s="31" t="s">
        <v>29</v>
      </c>
      <c r="L353" s="40">
        <v>0</v>
      </c>
      <c r="M353" s="30"/>
    </row>
    <row r="354" spans="1:13">
      <c r="A354" s="33"/>
      <c r="K354" s="31" t="s">
        <v>29</v>
      </c>
      <c r="L354" s="40">
        <v>0</v>
      </c>
      <c r="M354" s="30"/>
    </row>
    <row r="355" spans="1:13">
      <c r="A355" s="33"/>
      <c r="B355" s="34">
        <v>2</v>
      </c>
      <c r="C355" s="34" t="s">
        <v>55</v>
      </c>
      <c r="K355" s="31"/>
      <c r="L355" s="40"/>
      <c r="M355" s="30"/>
    </row>
    <row r="356" spans="1:13">
      <c r="A356" s="33"/>
      <c r="C356" s="1" t="s">
        <v>56</v>
      </c>
      <c r="D356" t="s">
        <v>57</v>
      </c>
      <c r="E356" t="s">
        <v>58</v>
      </c>
      <c r="F356" t="s">
        <v>34</v>
      </c>
      <c r="H356" t="s">
        <v>59</v>
      </c>
      <c r="I356" t="s">
        <v>60</v>
      </c>
      <c r="K356" s="31" t="s">
        <v>29</v>
      </c>
      <c r="L356" s="40">
        <v>0</v>
      </c>
      <c r="M356" s="30"/>
    </row>
    <row r="357" spans="1:13">
      <c r="A357" s="33"/>
      <c r="C357" s="1" t="s">
        <v>61</v>
      </c>
      <c r="K357" s="31"/>
      <c r="L357" s="40"/>
      <c r="M357" s="30"/>
    </row>
    <row r="358" spans="1:13">
      <c r="A358" s="33"/>
      <c r="B358" s="34">
        <v>3</v>
      </c>
      <c r="C358" s="1" t="s">
        <v>62</v>
      </c>
      <c r="K358" s="31"/>
      <c r="L358" s="40"/>
      <c r="M358" s="30"/>
    </row>
    <row r="359" spans="1:13">
      <c r="A359" s="33"/>
      <c r="B359" s="34"/>
      <c r="C359" s="1" t="s">
        <v>40</v>
      </c>
      <c r="E359">
        <v>0</v>
      </c>
      <c r="F359" t="str">
        <f>+F342</f>
        <v>hari x</v>
      </c>
      <c r="G359" s="38">
        <v>1</v>
      </c>
      <c r="H359">
        <f>+H360</f>
        <v>0</v>
      </c>
      <c r="I359" s="42">
        <v>0</v>
      </c>
      <c r="K359" s="31" t="str">
        <f>+K356</f>
        <v>Rp.</v>
      </c>
      <c r="L359" s="40">
        <f t="shared" ref="L359:L361" si="75">+E359*G359*I359</f>
        <v>0</v>
      </c>
      <c r="M359" s="30"/>
    </row>
    <row r="360" spans="1:13">
      <c r="A360" s="33"/>
      <c r="B360" s="34"/>
      <c r="C360" s="1" t="s">
        <v>41</v>
      </c>
      <c r="E360">
        <v>0</v>
      </c>
      <c r="F360" t="str">
        <f>+F359</f>
        <v>hari x</v>
      </c>
      <c r="G360" s="38">
        <v>1</v>
      </c>
      <c r="H360">
        <f>+H357</f>
        <v>0</v>
      </c>
      <c r="I360" s="42">
        <v>0</v>
      </c>
      <c r="K360" s="31" t="str">
        <f>+K359</f>
        <v>Rp.</v>
      </c>
      <c r="L360" s="40">
        <f t="shared" si="75"/>
        <v>0</v>
      </c>
      <c r="M360" s="30"/>
    </row>
    <row r="361" spans="1:13">
      <c r="A361" s="33"/>
      <c r="B361" s="34"/>
      <c r="C361" s="1" t="s">
        <v>42</v>
      </c>
      <c r="E361">
        <v>0</v>
      </c>
      <c r="F361" t="str">
        <f t="shared" ref="F361" si="76">+F360</f>
        <v>hari x</v>
      </c>
      <c r="G361" s="38">
        <v>0.5</v>
      </c>
      <c r="H361">
        <f t="shared" ref="H361" si="77">+H360</f>
        <v>0</v>
      </c>
      <c r="I361" s="42">
        <v>0</v>
      </c>
      <c r="K361" s="31" t="str">
        <f t="shared" ref="K361" si="78">+K360</f>
        <v>Rp.</v>
      </c>
      <c r="L361" s="40">
        <f t="shared" si="75"/>
        <v>0</v>
      </c>
      <c r="M361" s="30"/>
    </row>
    <row r="362" spans="1:13">
      <c r="A362" s="33"/>
      <c r="B362">
        <v>4</v>
      </c>
      <c r="C362" s="1" t="s">
        <v>63</v>
      </c>
      <c r="G362" s="41"/>
      <c r="I362" s="1" t="s">
        <v>10</v>
      </c>
      <c r="K362" s="31"/>
      <c r="L362" s="40"/>
      <c r="M362" s="30"/>
    </row>
    <row r="363" spans="1:13">
      <c r="A363" s="33"/>
      <c r="K363" s="31"/>
      <c r="L363" s="40"/>
      <c r="M363" s="30"/>
    </row>
    <row r="364" spans="1:13">
      <c r="A364" s="33"/>
      <c r="B364" s="34" t="s">
        <v>64</v>
      </c>
      <c r="C364" s="34"/>
      <c r="K364" s="31" t="s">
        <v>29</v>
      </c>
      <c r="L364" s="46">
        <f>SUM(L351:L363)</f>
        <v>0</v>
      </c>
      <c r="M364" s="30"/>
    </row>
    <row r="365" spans="1:13">
      <c r="A365" s="33"/>
      <c r="K365" s="31"/>
      <c r="L365" s="40"/>
      <c r="M365" s="30"/>
    </row>
    <row r="366" ht="15.15" spans="1:13">
      <c r="A366" s="33" t="s">
        <v>65</v>
      </c>
      <c r="B366" s="34" t="s">
        <v>66</v>
      </c>
      <c r="C366" s="34"/>
      <c r="K366" s="31" t="s">
        <v>29</v>
      </c>
      <c r="L366" s="46">
        <f>L364+L347</f>
        <v>430000</v>
      </c>
      <c r="M366" s="47"/>
    </row>
    <row r="367" spans="1:13">
      <c r="A367" s="30"/>
      <c r="G367" t="s">
        <v>10</v>
      </c>
      <c r="K367" s="48"/>
      <c r="L367" s="49"/>
      <c r="M367" s="47"/>
    </row>
    <row r="368" spans="1:13">
      <c r="A368" s="50"/>
      <c r="B368" s="51"/>
      <c r="C368" s="52"/>
      <c r="D368" s="52"/>
      <c r="E368" s="52"/>
      <c r="F368" s="53"/>
      <c r="G368" s="53"/>
      <c r="H368" s="53"/>
      <c r="I368" s="53"/>
      <c r="J368" s="54"/>
      <c r="K368" s="55"/>
      <c r="L368" s="54"/>
      <c r="M368" s="56"/>
    </row>
    <row r="369" spans="1:13">
      <c r="B369" t="s">
        <v>10</v>
      </c>
      <c r="K369" s="57"/>
      <c r="L369" s="57"/>
      <c r="M369" s="57"/>
    </row>
    <row r="370" spans="1:13">
      <c r="A370" t="s">
        <v>67</v>
      </c>
      <c r="H370" t="s">
        <v>68</v>
      </c>
    </row>
    <row r="371" spans="1:13">
      <c r="B371">
        <v>1</v>
      </c>
      <c r="C371" s="34" t="s">
        <v>29</v>
      </c>
      <c r="D371" s="34"/>
      <c r="E371" s="58">
        <f>+L366</f>
        <v>430000</v>
      </c>
      <c r="H371">
        <v>1</v>
      </c>
      <c r="I371" s="34" t="s">
        <v>29</v>
      </c>
      <c r="L371" s="59">
        <f>+L366</f>
        <v>430000</v>
      </c>
    </row>
    <row r="372" spans="1:13">
      <c r="A372" s="60"/>
      <c r="C372" s="34"/>
      <c r="I372" s="34"/>
    </row>
    <row r="373" spans="1:13">
      <c r="G373" t="s">
        <v>10</v>
      </c>
    </row>
    <row r="374" spans="1:13">
      <c r="B374" s="61" t="s">
        <v>69</v>
      </c>
      <c r="C374" s="61"/>
      <c r="H374" s="62" t="s">
        <v>70</v>
      </c>
      <c r="I374" s="62"/>
      <c r="J374" s="62"/>
      <c r="K374" s="62"/>
      <c r="L374" s="62"/>
    </row>
    <row r="375" spans="1:13">
      <c r="H375" s="63"/>
      <c r="I375" s="63"/>
      <c r="J375" s="63"/>
      <c r="K375" s="63"/>
      <c r="L375" s="63"/>
    </row>
    <row r="376" spans="1:13">
      <c r="H376" s="63"/>
      <c r="I376" s="63"/>
      <c r="J376" s="63"/>
      <c r="K376" s="63"/>
      <c r="L376" s="63"/>
    </row>
    <row r="377" spans="1:13">
      <c r="H377" s="63"/>
      <c r="I377" s="63"/>
      <c r="J377" s="63"/>
      <c r="K377" s="63"/>
      <c r="L377" s="63"/>
    </row>
    <row r="379" spans="1:13">
      <c r="B379" s="61" t="s">
        <v>71</v>
      </c>
      <c r="C379" s="61"/>
      <c r="H379" s="62" t="str">
        <f>E318</f>
        <v>MUH. ARDI</v>
      </c>
      <c r="I379" s="62"/>
      <c r="J379" s="62"/>
      <c r="K379" s="62"/>
      <c r="L379" s="62"/>
    </row>
    <row r="380" ht="16.2" spans="1:13">
      <c r="A380" s="2"/>
      <c r="B380" s="3"/>
      <c r="C380" s="4"/>
      <c r="D380" s="4"/>
      <c r="E380" s="4"/>
      <c r="F380" s="2"/>
      <c r="G380" s="2"/>
      <c r="H380" s="2"/>
      <c r="I380" s="3"/>
      <c r="J380" s="3"/>
      <c r="K380" s="3"/>
      <c r="L380" s="3"/>
      <c r="M380" s="3"/>
    </row>
    <row r="381" ht="16.2" spans="1:13">
      <c r="A381" s="2"/>
      <c r="B381" s="5"/>
      <c r="C381" s="4"/>
      <c r="D381" s="4"/>
      <c r="E381" s="4"/>
      <c r="F381" s="2"/>
      <c r="G381" s="2"/>
      <c r="H381" s="2"/>
      <c r="I381" s="3"/>
      <c r="J381" s="3"/>
      <c r="K381" s="3"/>
      <c r="L381" s="3"/>
      <c r="M381" s="3"/>
    </row>
    <row r="382" ht="16.2" spans="1:13">
      <c r="A382" s="2"/>
      <c r="B382" s="5"/>
      <c r="C382" s="6"/>
      <c r="D382" s="3"/>
      <c r="E382" s="2"/>
      <c r="F382" s="2"/>
      <c r="G382" s="2"/>
      <c r="H382" s="2"/>
      <c r="I382" s="3"/>
      <c r="J382" s="3"/>
      <c r="K382" s="3"/>
      <c r="L382" s="3"/>
      <c r="M382" s="3"/>
    </row>
    <row r="383" ht="15.6" spans="1:13">
      <c r="A383" s="7"/>
      <c r="B383" s="8"/>
      <c r="C383" s="7"/>
      <c r="D383" s="9"/>
      <c r="E383" s="9"/>
      <c r="F383" s="10"/>
      <c r="G383" s="10"/>
      <c r="H383" s="9"/>
      <c r="I383" s="10"/>
      <c r="J383" s="10"/>
      <c r="K383" s="11"/>
      <c r="L383" s="7"/>
      <c r="M383" s="3"/>
    </row>
    <row r="384" ht="15.6" spans="1:13">
      <c r="A384" s="12"/>
      <c r="B384" s="13"/>
      <c r="C384" s="7"/>
      <c r="D384" s="9"/>
      <c r="E384" s="9"/>
      <c r="F384" s="10"/>
      <c r="G384" s="10"/>
      <c r="H384" s="9"/>
      <c r="I384" s="10"/>
      <c r="J384" s="10"/>
      <c r="K384" s="7"/>
      <c r="L384" s="73" t="s">
        <v>0</v>
      </c>
      <c r="M384" s="3"/>
    </row>
    <row r="385" ht="16.2" spans="1:13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3"/>
      <c r="L385" s="3"/>
      <c r="M385" s="3"/>
    </row>
    <row r="386" ht="15.6" spans="1:13">
      <c r="A386" s="14" t="s">
        <v>1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8" ht="15" spans="1:13">
      <c r="C388" s="1" t="s">
        <v>2</v>
      </c>
      <c r="D388" t="s">
        <v>3</v>
      </c>
      <c r="E388" s="15"/>
    </row>
    <row r="389" spans="1:13">
      <c r="C389" s="1" t="s">
        <v>4</v>
      </c>
      <c r="D389" t="s">
        <v>3</v>
      </c>
      <c r="E389" s="65">
        <v>46224</v>
      </c>
      <c r="F389" s="17"/>
      <c r="G389" s="66">
        <v>46226</v>
      </c>
      <c r="H389" s="66"/>
      <c r="I389" s="66"/>
    </row>
    <row r="390" ht="15" spans="1:13">
      <c r="C390" s="1" t="s">
        <v>6</v>
      </c>
      <c r="D390" t="s">
        <v>3</v>
      </c>
      <c r="E390" s="15" t="s">
        <v>79</v>
      </c>
    </row>
    <row r="391" spans="1:13">
      <c r="C391" s="19" t="s">
        <v>8</v>
      </c>
      <c r="D391" t="s">
        <v>3</v>
      </c>
      <c r="E391" s="20" t="s">
        <v>80</v>
      </c>
      <c r="F391" s="20"/>
      <c r="G391" s="20"/>
      <c r="H391" s="20"/>
      <c r="I391" s="20"/>
      <c r="J391" s="20"/>
      <c r="K391" s="20"/>
      <c r="L391" s="20"/>
      <c r="M391" s="20"/>
    </row>
    <row r="392" spans="1:13">
      <c r="C392"/>
      <c r="E392" s="20"/>
      <c r="F392" s="20"/>
      <c r="G392" s="20"/>
      <c r="H392" s="20"/>
      <c r="I392" s="20"/>
      <c r="J392" s="20"/>
      <c r="K392" s="20"/>
      <c r="L392" s="20"/>
      <c r="M392" s="20"/>
    </row>
    <row r="393" spans="1:13">
      <c r="C393" s="1" t="s">
        <v>11</v>
      </c>
      <c r="D393" t="s">
        <v>3</v>
      </c>
      <c r="E393" s="21" t="s">
        <v>12</v>
      </c>
      <c r="F393" s="16"/>
      <c r="G393" s="17"/>
      <c r="H393" s="18"/>
      <c r="I393" s="18"/>
    </row>
    <row r="394" ht="15.6" spans="1:13">
      <c r="C394" s="1" t="s">
        <v>16</v>
      </c>
      <c r="D394" t="s">
        <v>3</v>
      </c>
      <c r="E394" s="22" t="s">
        <v>17</v>
      </c>
      <c r="F394" s="22"/>
      <c r="G394" s="22"/>
      <c r="H394" s="22"/>
      <c r="I394" s="22"/>
    </row>
    <row r="395" ht="15.6" spans="1:13">
      <c r="C395" s="1" t="s">
        <v>18</v>
      </c>
      <c r="D395" t="s">
        <v>3</v>
      </c>
      <c r="E395" s="23" t="s">
        <v>19</v>
      </c>
      <c r="F395" s="24"/>
    </row>
    <row r="396" spans="1:13">
      <c r="E396" s="24"/>
    </row>
    <row r="397" spans="1:13">
      <c r="A397" s="25" t="s">
        <v>20</v>
      </c>
      <c r="B397" s="26" t="s">
        <v>21</v>
      </c>
      <c r="C397" s="27"/>
      <c r="D397" s="27"/>
      <c r="E397" s="27"/>
      <c r="F397" s="27"/>
      <c r="G397" s="27"/>
      <c r="H397" s="27"/>
      <c r="I397" s="27"/>
      <c r="J397" s="28"/>
      <c r="K397" s="26" t="s">
        <v>22</v>
      </c>
      <c r="L397" s="28"/>
      <c r="M397" s="29" t="s">
        <v>23</v>
      </c>
    </row>
    <row r="398" spans="1:13">
      <c r="A398" s="30"/>
      <c r="K398" s="31"/>
      <c r="L398" s="32"/>
      <c r="M398" s="30"/>
    </row>
    <row r="399" spans="1:13">
      <c r="A399" s="33" t="s">
        <v>24</v>
      </c>
      <c r="B399" t="s">
        <v>25</v>
      </c>
      <c r="K399" s="31"/>
      <c r="L399" s="32"/>
      <c r="M399" s="30"/>
    </row>
    <row r="400" spans="1:13">
      <c r="A400" s="33"/>
      <c r="K400" s="31"/>
      <c r="L400" s="32"/>
      <c r="M400" s="30"/>
    </row>
    <row r="401" spans="1:13">
      <c r="A401" s="33"/>
      <c r="B401" s="34">
        <v>1</v>
      </c>
      <c r="C401" s="34" t="s">
        <v>26</v>
      </c>
      <c r="K401" s="31"/>
      <c r="L401" s="32"/>
      <c r="M401" s="30"/>
    </row>
    <row r="402" spans="1:13">
      <c r="A402" s="33"/>
      <c r="B402" s="34"/>
      <c r="C402" s="1" t="s">
        <v>27</v>
      </c>
      <c r="G402">
        <v>0</v>
      </c>
      <c r="H402" s="1" t="s">
        <v>28</v>
      </c>
      <c r="I402" s="35">
        <v>0</v>
      </c>
      <c r="K402" s="31" t="s">
        <v>29</v>
      </c>
      <c r="L402" s="36">
        <f t="shared" ref="L402:L404" si="79">+I402*G402</f>
        <v>0</v>
      </c>
      <c r="M402" s="37"/>
    </row>
    <row r="403" spans="1:13">
      <c r="A403" s="33"/>
      <c r="B403" s="34"/>
      <c r="C403" s="1" t="s">
        <v>30</v>
      </c>
      <c r="G403">
        <v>0</v>
      </c>
      <c r="H403" t="s">
        <v>28</v>
      </c>
      <c r="I403" s="35">
        <v>0</v>
      </c>
      <c r="J403" s="38"/>
      <c r="K403" s="31" t="s">
        <v>29</v>
      </c>
      <c r="L403" s="36">
        <f t="shared" si="79"/>
        <v>0</v>
      </c>
      <c r="M403" s="39"/>
    </row>
    <row r="404" spans="1:13">
      <c r="A404" s="33"/>
      <c r="B404" s="34"/>
      <c r="C404" s="1" t="s">
        <v>31</v>
      </c>
      <c r="G404">
        <v>0</v>
      </c>
      <c r="H404" t="s">
        <v>28</v>
      </c>
      <c r="I404" s="35">
        <v>0</v>
      </c>
      <c r="K404" s="31" t="s">
        <v>29</v>
      </c>
      <c r="L404" s="36">
        <f t="shared" si="79"/>
        <v>0</v>
      </c>
      <c r="M404" s="37"/>
    </row>
    <row r="405" spans="1:13">
      <c r="A405" s="33"/>
      <c r="B405" s="34">
        <v>2</v>
      </c>
      <c r="C405" s="34" t="s">
        <v>32</v>
      </c>
      <c r="D405" s="34"/>
      <c r="K405" s="31"/>
      <c r="L405" s="40"/>
      <c r="M405" s="30"/>
    </row>
    <row r="406" spans="1:13">
      <c r="A406" s="33"/>
      <c r="B406" s="34"/>
      <c r="C406" s="1" t="s">
        <v>33</v>
      </c>
      <c r="D406" s="41"/>
      <c r="E406">
        <v>3</v>
      </c>
      <c r="F406" t="s">
        <v>34</v>
      </c>
      <c r="G406" s="38">
        <v>1</v>
      </c>
      <c r="H406" t="s">
        <v>28</v>
      </c>
      <c r="I406" s="42">
        <v>190000</v>
      </c>
      <c r="K406" s="31" t="s">
        <v>29</v>
      </c>
      <c r="L406" s="43">
        <f t="shared" ref="L406:L408" si="80">I406*G406*E406</f>
        <v>570000</v>
      </c>
      <c r="M406" s="37"/>
    </row>
    <row r="407" spans="1:13">
      <c r="A407" s="33"/>
      <c r="B407" s="34"/>
      <c r="C407" s="1" t="s">
        <v>35</v>
      </c>
      <c r="D407" s="41"/>
      <c r="E407">
        <v>2</v>
      </c>
      <c r="F407" t="s">
        <v>34</v>
      </c>
      <c r="G407" s="38">
        <v>1</v>
      </c>
      <c r="H407" t="str">
        <f t="shared" ref="H407:H408" si="81">+H406</f>
        <v>x Rp.</v>
      </c>
      <c r="I407" s="42">
        <v>50000</v>
      </c>
      <c r="K407" s="31" t="str">
        <f t="shared" ref="K407:K408" si="82">+K406</f>
        <v>Rp.</v>
      </c>
      <c r="L407" s="43">
        <f t="shared" si="80"/>
        <v>100000</v>
      </c>
      <c r="M407" s="37"/>
    </row>
    <row r="408" spans="1:13">
      <c r="A408" s="33"/>
      <c r="B408" s="34"/>
      <c r="C408" s="1" t="s">
        <v>36</v>
      </c>
      <c r="D408" s="41"/>
      <c r="E408">
        <v>0</v>
      </c>
      <c r="F408" t="s">
        <v>34</v>
      </c>
      <c r="G408" s="38">
        <v>1</v>
      </c>
      <c r="H408" t="str">
        <f t="shared" si="81"/>
        <v>x Rp.</v>
      </c>
      <c r="I408" s="42">
        <v>0</v>
      </c>
      <c r="K408" s="31" t="str">
        <f t="shared" si="82"/>
        <v>Rp.</v>
      </c>
      <c r="L408" s="43">
        <f t="shared" si="80"/>
        <v>0</v>
      </c>
      <c r="M408" s="44"/>
    </row>
    <row r="409" spans="1:13">
      <c r="A409" s="33"/>
      <c r="B409" s="34">
        <v>3</v>
      </c>
      <c r="C409" s="34" t="s">
        <v>37</v>
      </c>
      <c r="D409" s="41"/>
      <c r="G409" s="38" t="s">
        <v>38</v>
      </c>
      <c r="I409" s="42"/>
      <c r="J409" s="1" t="s">
        <v>10</v>
      </c>
      <c r="K409" s="31"/>
      <c r="L409" s="40"/>
      <c r="M409" s="37"/>
    </row>
    <row r="410" spans="1:13">
      <c r="A410" s="33"/>
      <c r="B410" s="34"/>
      <c r="C410" s="1" t="s">
        <v>33</v>
      </c>
      <c r="D410" s="41"/>
      <c r="E410">
        <v>0</v>
      </c>
      <c r="F410" t="s">
        <v>34</v>
      </c>
      <c r="G410" s="38">
        <v>1</v>
      </c>
      <c r="H410" t="str">
        <f>+H408</f>
        <v>x Rp.</v>
      </c>
      <c r="I410" s="42">
        <v>0</v>
      </c>
      <c r="K410" s="31" t="s">
        <v>29</v>
      </c>
      <c r="L410" s="40">
        <f t="shared" ref="L410:L412" si="83">+E410*G410*I410</f>
        <v>0</v>
      </c>
      <c r="M410" s="39"/>
    </row>
    <row r="411" spans="1:13">
      <c r="A411" s="33"/>
      <c r="B411" s="34"/>
      <c r="C411" s="1" t="s">
        <v>35</v>
      </c>
      <c r="D411" s="41"/>
      <c r="E411">
        <v>0</v>
      </c>
      <c r="F411" t="s">
        <v>34</v>
      </c>
      <c r="G411" s="38">
        <v>1</v>
      </c>
      <c r="H411" t="str">
        <f t="shared" ref="H411" si="84">+H410</f>
        <v>x Rp.</v>
      </c>
      <c r="I411" s="42">
        <v>0</v>
      </c>
      <c r="K411" s="31" t="str">
        <f t="shared" ref="K411" si="85">+K410</f>
        <v>Rp.</v>
      </c>
      <c r="L411" s="40">
        <f t="shared" si="83"/>
        <v>0</v>
      </c>
      <c r="M411" s="37"/>
    </row>
    <row r="412" spans="1:13">
      <c r="A412" s="33"/>
      <c r="B412" s="34"/>
      <c r="C412" s="1" t="s">
        <v>36</v>
      </c>
      <c r="D412" s="41"/>
      <c r="E412">
        <v>0</v>
      </c>
      <c r="F412" t="s">
        <v>34</v>
      </c>
      <c r="G412" s="38">
        <v>1</v>
      </c>
      <c r="H412" t="s">
        <v>28</v>
      </c>
      <c r="I412" s="42">
        <v>0</v>
      </c>
      <c r="K412" s="31" t="s">
        <v>29</v>
      </c>
      <c r="L412" s="40">
        <f t="shared" si="83"/>
        <v>0</v>
      </c>
      <c r="M412" s="30"/>
    </row>
    <row r="413" spans="1:13">
      <c r="A413" s="33"/>
      <c r="B413" s="34">
        <v>4</v>
      </c>
      <c r="C413" s="34" t="s">
        <v>39</v>
      </c>
      <c r="D413" s="41"/>
      <c r="G413" s="38" t="s">
        <v>38</v>
      </c>
      <c r="I413" s="42"/>
      <c r="J413" s="1" t="s">
        <v>10</v>
      </c>
      <c r="K413" s="31"/>
      <c r="L413" s="40"/>
      <c r="M413" s="37"/>
    </row>
    <row r="414" spans="1:13">
      <c r="A414" s="33"/>
      <c r="B414" s="34"/>
      <c r="C414" s="1" t="s">
        <v>40</v>
      </c>
      <c r="D414" s="41"/>
      <c r="E414">
        <v>0</v>
      </c>
      <c r="F414" t="s">
        <v>34</v>
      </c>
      <c r="G414" s="38">
        <v>1</v>
      </c>
      <c r="H414" t="str">
        <f>+H415</f>
        <v>x Rp.</v>
      </c>
      <c r="I414" s="42">
        <v>0</v>
      </c>
      <c r="K414" s="31" t="str">
        <f>+K412</f>
        <v>Rp.</v>
      </c>
      <c r="L414" s="40">
        <f t="shared" ref="L414:L416" si="86">+E414*G414*I414</f>
        <v>0</v>
      </c>
      <c r="M414" s="45"/>
    </row>
    <row r="415" spans="1:13">
      <c r="A415" s="33"/>
      <c r="B415" s="34"/>
      <c r="C415" s="1" t="s">
        <v>41</v>
      </c>
      <c r="D415" s="41"/>
      <c r="E415">
        <v>0</v>
      </c>
      <c r="F415" t="s">
        <v>34</v>
      </c>
      <c r="G415" s="38">
        <v>1</v>
      </c>
      <c r="H415" t="str">
        <f>+H412</f>
        <v>x Rp.</v>
      </c>
      <c r="I415" s="42">
        <v>0</v>
      </c>
      <c r="K415" s="31" t="str">
        <f t="shared" ref="K415:K420" si="87">+K414</f>
        <v>Rp.</v>
      </c>
      <c r="L415" s="40">
        <f t="shared" si="86"/>
        <v>0</v>
      </c>
      <c r="M415" s="39"/>
    </row>
    <row r="416" spans="1:13">
      <c r="A416" s="33"/>
      <c r="B416" s="34"/>
      <c r="C416" s="1" t="s">
        <v>42</v>
      </c>
      <c r="D416" s="41"/>
      <c r="E416">
        <v>0</v>
      </c>
      <c r="F416" t="s">
        <v>34</v>
      </c>
      <c r="G416" s="38">
        <v>1</v>
      </c>
      <c r="H416" t="str">
        <f t="shared" ref="H416" si="88">+H415</f>
        <v>x Rp.</v>
      </c>
      <c r="I416" s="42">
        <v>0</v>
      </c>
      <c r="K416" s="31" t="str">
        <f t="shared" si="87"/>
        <v>Rp.</v>
      </c>
      <c r="L416" s="40">
        <f t="shared" si="86"/>
        <v>0</v>
      </c>
      <c r="M416" s="37"/>
    </row>
    <row r="417" spans="1:13">
      <c r="A417" s="33"/>
      <c r="B417" s="34">
        <v>5</v>
      </c>
      <c r="C417" s="34" t="s">
        <v>43</v>
      </c>
      <c r="D417" s="41"/>
      <c r="G417" s="38" t="s">
        <v>38</v>
      </c>
      <c r="I417" s="42"/>
      <c r="J417" s="1" t="s">
        <v>10</v>
      </c>
      <c r="K417" s="31"/>
      <c r="L417" s="40"/>
      <c r="M417" s="37"/>
    </row>
    <row r="418" spans="1:13">
      <c r="A418" s="33"/>
      <c r="B418" s="34"/>
      <c r="C418" s="1" t="s">
        <v>44</v>
      </c>
      <c r="D418" s="41"/>
      <c r="E418">
        <v>0</v>
      </c>
      <c r="F418" t="str">
        <f>+F419</f>
        <v>hari x</v>
      </c>
      <c r="G418" s="38">
        <v>1</v>
      </c>
      <c r="H418" t="str">
        <f>+H419</f>
        <v>x Rp.</v>
      </c>
      <c r="I418" s="42">
        <v>0</v>
      </c>
      <c r="K418" s="31" t="str">
        <f>+K416</f>
        <v>Rp.</v>
      </c>
      <c r="L418" s="40">
        <f t="shared" ref="L418:L420" si="89">+E418*G418*I418</f>
        <v>0</v>
      </c>
      <c r="M418" s="45"/>
    </row>
    <row r="419" spans="1:13">
      <c r="A419" s="33"/>
      <c r="B419" s="34"/>
      <c r="C419" s="1" t="s">
        <v>45</v>
      </c>
      <c r="D419" s="41"/>
      <c r="E419">
        <v>0</v>
      </c>
      <c r="F419" t="str">
        <f>+F416</f>
        <v>hari x</v>
      </c>
      <c r="G419" s="38">
        <v>1</v>
      </c>
      <c r="H419" t="str">
        <f>+H416</f>
        <v>x Rp.</v>
      </c>
      <c r="I419" s="42">
        <v>0</v>
      </c>
      <c r="K419" s="31" t="str">
        <f t="shared" si="87"/>
        <v>Rp.</v>
      </c>
      <c r="L419" s="40">
        <f t="shared" si="89"/>
        <v>0</v>
      </c>
      <c r="M419" s="39"/>
    </row>
    <row r="420" spans="1:13">
      <c r="A420" s="33"/>
      <c r="B420" s="34">
        <v>6</v>
      </c>
      <c r="C420" s="34" t="s">
        <v>46</v>
      </c>
      <c r="D420" s="41"/>
      <c r="E420">
        <v>0</v>
      </c>
      <c r="F420" t="s">
        <v>47</v>
      </c>
      <c r="G420" s="38">
        <v>1</v>
      </c>
      <c r="H420" t="str">
        <f>+H418</f>
        <v>x Rp.</v>
      </c>
      <c r="I420" s="42">
        <v>0</v>
      </c>
      <c r="K420" s="31" t="str">
        <f t="shared" si="87"/>
        <v>Rp.</v>
      </c>
      <c r="L420" s="40">
        <f t="shared" si="89"/>
        <v>0</v>
      </c>
      <c r="M420" s="37"/>
    </row>
    <row r="421" spans="1:13">
      <c r="A421" s="33"/>
      <c r="B421" s="34"/>
      <c r="D421" s="41"/>
      <c r="G421" s="38"/>
      <c r="I421" s="42"/>
      <c r="K421" s="31"/>
      <c r="L421" s="40"/>
      <c r="M421" s="30"/>
    </row>
    <row r="422" spans="1:13">
      <c r="A422" s="33"/>
      <c r="C422" s="1" t="s">
        <v>10</v>
      </c>
      <c r="D422" t="s">
        <v>10</v>
      </c>
      <c r="K422" s="31"/>
      <c r="L422" s="40"/>
      <c r="M422" s="30"/>
    </row>
    <row r="423" spans="1:13">
      <c r="A423" s="33"/>
      <c r="B423" s="34" t="s">
        <v>48</v>
      </c>
      <c r="E423" t="s">
        <v>10</v>
      </c>
      <c r="K423" s="31" t="s">
        <v>29</v>
      </c>
      <c r="L423" s="46">
        <f>SUM(L402:L420)</f>
        <v>670000</v>
      </c>
      <c r="M423" s="30"/>
    </row>
    <row r="424" spans="1:13">
      <c r="A424" s="33"/>
      <c r="D424" t="s">
        <v>10</v>
      </c>
      <c r="E424" t="s">
        <v>10</v>
      </c>
      <c r="J424" t="s">
        <v>10</v>
      </c>
      <c r="K424" s="31" t="s">
        <v>10</v>
      </c>
      <c r="L424" s="40"/>
      <c r="M424" s="30"/>
    </row>
    <row r="425" spans="1:13">
      <c r="A425" s="33" t="s">
        <v>49</v>
      </c>
      <c r="B425" s="34" t="s">
        <v>50</v>
      </c>
      <c r="K425" s="31"/>
      <c r="L425" s="40"/>
      <c r="M425" s="30"/>
    </row>
    <row r="426" spans="1:13">
      <c r="A426" s="33"/>
      <c r="B426" s="34">
        <v>1</v>
      </c>
      <c r="C426" s="34" t="s">
        <v>51</v>
      </c>
      <c r="K426" s="31"/>
      <c r="L426" s="40"/>
      <c r="M426" s="30"/>
    </row>
    <row r="427" spans="1:13">
      <c r="A427" s="33"/>
      <c r="C427" s="1" t="s">
        <v>52</v>
      </c>
      <c r="K427" s="31" t="s">
        <v>29</v>
      </c>
      <c r="L427" s="40">
        <v>0</v>
      </c>
      <c r="M427" s="30"/>
    </row>
    <row r="428" spans="1:13">
      <c r="A428" s="33"/>
      <c r="C428" s="1" t="s">
        <v>53</v>
      </c>
      <c r="K428" s="31" t="s">
        <v>29</v>
      </c>
      <c r="L428" s="40">
        <v>0</v>
      </c>
      <c r="M428" s="30"/>
    </row>
    <row r="429" spans="1:13">
      <c r="A429" s="33"/>
      <c r="C429" s="1" t="s">
        <v>54</v>
      </c>
      <c r="K429" s="31" t="s">
        <v>29</v>
      </c>
      <c r="L429" s="40">
        <v>0</v>
      </c>
      <c r="M429" s="30"/>
    </row>
    <row r="430" spans="1:13">
      <c r="A430" s="33"/>
      <c r="K430" s="31" t="s">
        <v>29</v>
      </c>
      <c r="L430" s="40">
        <v>0</v>
      </c>
      <c r="M430" s="30"/>
    </row>
    <row r="431" spans="1:13">
      <c r="A431" s="33"/>
      <c r="B431" s="34">
        <v>2</v>
      </c>
      <c r="C431" s="34" t="s">
        <v>55</v>
      </c>
      <c r="K431" s="31"/>
      <c r="L431" s="40"/>
      <c r="M431" s="30"/>
    </row>
    <row r="432" spans="1:13">
      <c r="A432" s="33"/>
      <c r="C432" s="1" t="s">
        <v>56</v>
      </c>
      <c r="D432" t="s">
        <v>57</v>
      </c>
      <c r="E432" t="s">
        <v>58</v>
      </c>
      <c r="F432" t="s">
        <v>34</v>
      </c>
      <c r="H432" t="s">
        <v>59</v>
      </c>
      <c r="I432" t="s">
        <v>60</v>
      </c>
      <c r="K432" s="31" t="s">
        <v>29</v>
      </c>
      <c r="L432" s="40">
        <v>0</v>
      </c>
      <c r="M432" s="30"/>
    </row>
    <row r="433" spans="1:13">
      <c r="A433" s="33"/>
      <c r="C433" s="1" t="s">
        <v>61</v>
      </c>
      <c r="K433" s="31"/>
      <c r="L433" s="40"/>
      <c r="M433" s="30"/>
    </row>
    <row r="434" spans="1:13">
      <c r="A434" s="33"/>
      <c r="B434" s="34">
        <v>3</v>
      </c>
      <c r="C434" s="1" t="s">
        <v>62</v>
      </c>
      <c r="K434" s="31"/>
      <c r="L434" s="40"/>
      <c r="M434" s="30"/>
    </row>
    <row r="435" spans="1:13">
      <c r="A435" s="33"/>
      <c r="B435" s="34"/>
      <c r="C435" s="1" t="s">
        <v>40</v>
      </c>
      <c r="E435">
        <v>0</v>
      </c>
      <c r="F435" t="str">
        <f>+F418</f>
        <v>hari x</v>
      </c>
      <c r="G435" s="38">
        <v>1</v>
      </c>
      <c r="H435">
        <f>+H436</f>
        <v>0</v>
      </c>
      <c r="I435" s="42">
        <v>0</v>
      </c>
      <c r="K435" s="31" t="str">
        <f>+K432</f>
        <v>Rp.</v>
      </c>
      <c r="L435" s="40">
        <f t="shared" ref="L435:L437" si="90">+E435*G435*I435</f>
        <v>0</v>
      </c>
      <c r="M435" s="30"/>
    </row>
    <row r="436" spans="1:13">
      <c r="A436" s="33"/>
      <c r="B436" s="34"/>
      <c r="C436" s="1" t="s">
        <v>41</v>
      </c>
      <c r="E436">
        <v>0</v>
      </c>
      <c r="F436" t="str">
        <f>+F435</f>
        <v>hari x</v>
      </c>
      <c r="G436" s="38">
        <v>1</v>
      </c>
      <c r="H436">
        <f>+H433</f>
        <v>0</v>
      </c>
      <c r="I436" s="42">
        <v>0</v>
      </c>
      <c r="K436" s="31" t="str">
        <f>+K435</f>
        <v>Rp.</v>
      </c>
      <c r="L436" s="40">
        <f t="shared" si="90"/>
        <v>0</v>
      </c>
      <c r="M436" s="30"/>
    </row>
    <row r="437" spans="1:13">
      <c r="A437" s="33"/>
      <c r="B437" s="34"/>
      <c r="C437" s="1" t="s">
        <v>42</v>
      </c>
      <c r="E437">
        <v>0</v>
      </c>
      <c r="F437" t="str">
        <f t="shared" ref="F437" si="91">+F436</f>
        <v>hari x</v>
      </c>
      <c r="G437" s="38">
        <v>0.5</v>
      </c>
      <c r="H437">
        <f t="shared" ref="H437" si="92">+H436</f>
        <v>0</v>
      </c>
      <c r="I437" s="42">
        <v>0</v>
      </c>
      <c r="K437" s="31" t="str">
        <f t="shared" ref="K437" si="93">+K436</f>
        <v>Rp.</v>
      </c>
      <c r="L437" s="40">
        <f t="shared" si="90"/>
        <v>0</v>
      </c>
      <c r="M437" s="30"/>
    </row>
    <row r="438" spans="1:13">
      <c r="A438" s="33"/>
      <c r="B438">
        <v>4</v>
      </c>
      <c r="C438" s="1" t="s">
        <v>63</v>
      </c>
      <c r="G438" s="41"/>
      <c r="I438" s="1" t="s">
        <v>10</v>
      </c>
      <c r="K438" s="31"/>
      <c r="L438" s="40"/>
      <c r="M438" s="30"/>
    </row>
    <row r="439" spans="1:13">
      <c r="A439" s="33"/>
      <c r="K439" s="31"/>
      <c r="L439" s="40"/>
      <c r="M439" s="30"/>
    </row>
    <row r="440" spans="1:13">
      <c r="A440" s="33"/>
      <c r="B440" s="34" t="s">
        <v>64</v>
      </c>
      <c r="C440" s="34"/>
      <c r="K440" s="31" t="s">
        <v>29</v>
      </c>
      <c r="L440" s="46">
        <f>SUM(L427:L439)</f>
        <v>0</v>
      </c>
      <c r="M440" s="30"/>
    </row>
    <row r="441" spans="1:13">
      <c r="A441" s="33"/>
      <c r="K441" s="31"/>
      <c r="L441" s="40"/>
      <c r="M441" s="30"/>
    </row>
    <row r="442" ht="15.15" spans="1:13">
      <c r="A442" s="33" t="s">
        <v>65</v>
      </c>
      <c r="B442" s="34" t="s">
        <v>66</v>
      </c>
      <c r="C442" s="34"/>
      <c r="K442" s="31" t="s">
        <v>29</v>
      </c>
      <c r="L442" s="46">
        <f>L440+L423</f>
        <v>670000</v>
      </c>
      <c r="M442" s="47"/>
    </row>
    <row r="443" spans="1:13">
      <c r="A443" s="30"/>
      <c r="G443" t="s">
        <v>10</v>
      </c>
      <c r="K443" s="48"/>
      <c r="L443" s="49"/>
      <c r="M443" s="47"/>
    </row>
    <row r="444" spans="1:13">
      <c r="A444" s="50"/>
      <c r="B444" s="51"/>
      <c r="C444" s="52"/>
      <c r="D444" s="52"/>
      <c r="E444" s="52"/>
      <c r="F444" s="53"/>
      <c r="G444" s="53"/>
      <c r="H444" s="53"/>
      <c r="I444" s="53"/>
      <c r="J444" s="54"/>
      <c r="K444" s="55"/>
      <c r="L444" s="54"/>
      <c r="M444" s="56"/>
    </row>
    <row r="445" spans="1:13">
      <c r="B445" t="s">
        <v>10</v>
      </c>
      <c r="K445" s="57"/>
      <c r="L445" s="57"/>
      <c r="M445" s="57"/>
    </row>
    <row r="446" spans="1:13">
      <c r="A446" t="s">
        <v>67</v>
      </c>
      <c r="H446" t="s">
        <v>68</v>
      </c>
    </row>
    <row r="447" spans="1:13">
      <c r="B447">
        <v>1</v>
      </c>
      <c r="C447" s="34" t="s">
        <v>29</v>
      </c>
      <c r="D447" s="34"/>
      <c r="E447" s="58">
        <f>+L442</f>
        <v>670000</v>
      </c>
      <c r="H447">
        <v>1</v>
      </c>
      <c r="I447" s="34" t="s">
        <v>29</v>
      </c>
      <c r="L447" s="59">
        <f>+L442</f>
        <v>670000</v>
      </c>
    </row>
    <row r="448" spans="1:13">
      <c r="A448" s="60"/>
      <c r="C448" s="34"/>
      <c r="I448" s="34"/>
    </row>
    <row r="449" spans="1:13">
      <c r="G449" t="s">
        <v>10</v>
      </c>
    </row>
    <row r="450" spans="1:13">
      <c r="B450" s="61" t="s">
        <v>69</v>
      </c>
      <c r="C450" s="61"/>
      <c r="H450" s="62" t="s">
        <v>70</v>
      </c>
      <c r="I450" s="62"/>
      <c r="J450" s="62"/>
      <c r="K450" s="62"/>
      <c r="L450" s="62"/>
    </row>
    <row r="451" spans="1:13">
      <c r="H451" s="63"/>
      <c r="I451" s="63"/>
      <c r="J451" s="63"/>
      <c r="K451" s="63"/>
      <c r="L451" s="63"/>
    </row>
    <row r="452" spans="1:13">
      <c r="H452" s="63"/>
      <c r="I452" s="63"/>
      <c r="J452" s="63"/>
      <c r="K452" s="63"/>
      <c r="L452" s="63"/>
    </row>
    <row r="453" spans="1:13">
      <c r="H453" s="63"/>
      <c r="I453" s="63"/>
      <c r="J453" s="63"/>
      <c r="K453" s="63"/>
      <c r="L453" s="63"/>
    </row>
    <row r="455" spans="1:13">
      <c r="B455" s="61" t="s">
        <v>71</v>
      </c>
      <c r="C455" s="61"/>
      <c r="H455" s="62" t="str">
        <f>E394</f>
        <v>MUH. ARDI</v>
      </c>
      <c r="I455" s="62"/>
      <c r="J455" s="62"/>
      <c r="K455" s="62"/>
      <c r="L455" s="62"/>
    </row>
    <row r="456" ht="16.2" spans="1:13">
      <c r="A456" s="2"/>
      <c r="B456" s="3"/>
      <c r="C456" s="4"/>
      <c r="D456" s="4"/>
      <c r="E456" s="4"/>
      <c r="F456" s="2"/>
      <c r="G456" s="2"/>
      <c r="H456" s="2"/>
      <c r="I456" s="3"/>
      <c r="J456" s="3"/>
      <c r="K456" s="3"/>
      <c r="L456" s="3"/>
      <c r="M456" s="3"/>
    </row>
    <row r="457" ht="16.2" spans="1:13">
      <c r="A457" s="2"/>
      <c r="B457" s="5"/>
      <c r="C457" s="4"/>
      <c r="D457" s="4"/>
      <c r="E457" s="4"/>
      <c r="F457" s="2"/>
      <c r="G457" s="2"/>
      <c r="H457" s="2"/>
      <c r="I457" s="3"/>
      <c r="J457" s="3"/>
      <c r="K457" s="3"/>
      <c r="L457" s="3"/>
      <c r="M457" s="3"/>
    </row>
    <row r="458" ht="16.2" spans="1:13">
      <c r="A458" s="2"/>
      <c r="B458" s="5"/>
      <c r="C458" s="6"/>
      <c r="D458" s="3"/>
      <c r="E458" s="2"/>
      <c r="F458" s="2"/>
      <c r="G458" s="2"/>
      <c r="H458" s="2"/>
      <c r="I458" s="3"/>
      <c r="J458" s="3"/>
      <c r="K458" s="3"/>
      <c r="L458" s="3"/>
      <c r="M458" s="3"/>
    </row>
    <row r="459" ht="15.6" spans="1:13">
      <c r="A459" s="7"/>
      <c r="B459" s="8"/>
      <c r="C459" s="7"/>
      <c r="D459" s="9"/>
      <c r="E459" s="9"/>
      <c r="F459" s="10"/>
      <c r="G459" s="10"/>
      <c r="H459" s="9"/>
      <c r="I459" s="10"/>
      <c r="J459" s="10"/>
      <c r="K459" s="11"/>
      <c r="L459" s="7"/>
      <c r="M459" s="3"/>
    </row>
    <row r="460" ht="15.6" spans="1:13">
      <c r="A460" s="12"/>
      <c r="B460" s="13"/>
      <c r="C460" s="7"/>
      <c r="D460" s="9"/>
      <c r="E460" s="9"/>
      <c r="F460" s="10"/>
      <c r="G460" s="10"/>
      <c r="H460" s="9"/>
      <c r="I460" s="10"/>
      <c r="J460" s="10"/>
      <c r="K460" s="7"/>
      <c r="L460" s="73" t="s">
        <v>0</v>
      </c>
      <c r="M460" s="3"/>
    </row>
    <row r="461" ht="16.2" spans="1:13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3"/>
      <c r="M461" s="3"/>
    </row>
    <row r="462" ht="15.6" spans="1:13">
      <c r="A462" s="14" t="s">
        <v>1</v>
      </c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</row>
    <row r="464" ht="15" spans="1:13">
      <c r="C464" s="1" t="s">
        <v>2</v>
      </c>
      <c r="D464" t="s">
        <v>3</v>
      </c>
      <c r="E464" s="15"/>
    </row>
    <row r="465" spans="1:13">
      <c r="C465" s="1" t="s">
        <v>4</v>
      </c>
      <c r="D465" t="s">
        <v>3</v>
      </c>
      <c r="E465" s="65">
        <v>46231</v>
      </c>
      <c r="F465" s="17"/>
      <c r="G465" s="66">
        <v>46235</v>
      </c>
      <c r="H465" s="66"/>
      <c r="I465" s="66"/>
    </row>
    <row r="466" ht="15" spans="1:13">
      <c r="C466" s="1" t="s">
        <v>6</v>
      </c>
      <c r="D466" t="s">
        <v>3</v>
      </c>
      <c r="E466" s="15" t="s">
        <v>81</v>
      </c>
    </row>
    <row r="467" spans="1:13">
      <c r="C467" s="19" t="s">
        <v>8</v>
      </c>
      <c r="D467" t="s">
        <v>3</v>
      </c>
      <c r="E467" s="20" t="s">
        <v>82</v>
      </c>
      <c r="F467" s="20"/>
      <c r="G467" s="20"/>
      <c r="H467" s="20"/>
      <c r="I467" s="20"/>
      <c r="J467" s="20"/>
      <c r="K467" s="20"/>
      <c r="L467" s="20"/>
      <c r="M467" s="20"/>
    </row>
    <row r="468" spans="1:13">
      <c r="C468"/>
      <c r="E468" s="20"/>
      <c r="F468" s="20"/>
      <c r="G468" s="20"/>
      <c r="H468" s="20"/>
      <c r="I468" s="20"/>
      <c r="J468" s="20"/>
      <c r="K468" s="20"/>
      <c r="L468" s="20"/>
      <c r="M468" s="20"/>
    </row>
    <row r="469" spans="1:13">
      <c r="C469" s="1" t="s">
        <v>11</v>
      </c>
      <c r="D469" t="s">
        <v>3</v>
      </c>
      <c r="E469" s="21" t="s">
        <v>83</v>
      </c>
      <c r="F469" s="16"/>
      <c r="G469" s="17"/>
      <c r="H469" s="18"/>
      <c r="I469" s="18"/>
    </row>
    <row r="470" ht="15.6" spans="1:13">
      <c r="C470" s="1" t="s">
        <v>16</v>
      </c>
      <c r="D470" t="s">
        <v>3</v>
      </c>
      <c r="E470" s="22" t="s">
        <v>17</v>
      </c>
      <c r="F470" s="22"/>
      <c r="G470" s="22"/>
      <c r="H470" s="22"/>
      <c r="I470" s="22"/>
    </row>
    <row r="471" ht="15.6" spans="1:13">
      <c r="C471" s="1" t="s">
        <v>18</v>
      </c>
      <c r="D471" t="s">
        <v>3</v>
      </c>
      <c r="E471" s="23" t="s">
        <v>19</v>
      </c>
      <c r="F471" s="24"/>
    </row>
    <row r="472" spans="1:13">
      <c r="E472" s="24"/>
    </row>
    <row r="473" spans="1:13">
      <c r="A473" s="25" t="s">
        <v>20</v>
      </c>
      <c r="B473" s="26" t="s">
        <v>21</v>
      </c>
      <c r="C473" s="27"/>
      <c r="D473" s="27"/>
      <c r="E473" s="27"/>
      <c r="F473" s="27"/>
      <c r="G473" s="27"/>
      <c r="H473" s="27"/>
      <c r="I473" s="27"/>
      <c r="J473" s="28"/>
      <c r="K473" s="26" t="s">
        <v>22</v>
      </c>
      <c r="L473" s="28"/>
      <c r="M473" s="29" t="s">
        <v>23</v>
      </c>
    </row>
    <row r="474" spans="1:13">
      <c r="A474" s="30"/>
      <c r="K474" s="31"/>
      <c r="L474" s="32"/>
      <c r="M474" s="30"/>
    </row>
    <row r="475" spans="1:13">
      <c r="A475" s="33" t="s">
        <v>24</v>
      </c>
      <c r="B475" t="s">
        <v>25</v>
      </c>
      <c r="K475" s="31"/>
      <c r="L475" s="32"/>
      <c r="M475" s="30"/>
    </row>
    <row r="476" spans="1:13">
      <c r="A476" s="33"/>
      <c r="K476" s="31"/>
      <c r="L476" s="32"/>
      <c r="M476" s="30"/>
    </row>
    <row r="477" spans="1:13">
      <c r="A477" s="33"/>
      <c r="B477" s="34">
        <v>1</v>
      </c>
      <c r="C477" s="34" t="s">
        <v>26</v>
      </c>
      <c r="K477" s="31"/>
      <c r="L477" s="32"/>
      <c r="M477" s="30"/>
    </row>
    <row r="478" spans="1:13">
      <c r="A478" s="33"/>
      <c r="B478" s="34"/>
      <c r="C478" s="1" t="s">
        <v>27</v>
      </c>
      <c r="G478">
        <v>0</v>
      </c>
      <c r="H478" s="1" t="s">
        <v>28</v>
      </c>
      <c r="I478" s="35">
        <v>0</v>
      </c>
      <c r="K478" s="31" t="s">
        <v>29</v>
      </c>
      <c r="L478" s="36">
        <f t="shared" ref="L478:L480" si="94">+I478*G478</f>
        <v>0</v>
      </c>
      <c r="M478" s="37"/>
    </row>
    <row r="479" spans="1:13">
      <c r="A479" s="33"/>
      <c r="B479" s="34"/>
      <c r="C479" s="1" t="s">
        <v>30</v>
      </c>
      <c r="G479">
        <v>0</v>
      </c>
      <c r="H479" t="s">
        <v>28</v>
      </c>
      <c r="I479" s="35">
        <v>0</v>
      </c>
      <c r="J479" s="38"/>
      <c r="K479" s="31" t="s">
        <v>29</v>
      </c>
      <c r="L479" s="36">
        <f t="shared" si="94"/>
        <v>0</v>
      </c>
      <c r="M479" s="39"/>
    </row>
    <row r="480" spans="1:13">
      <c r="A480" s="33"/>
      <c r="B480" s="34"/>
      <c r="C480" s="1" t="s">
        <v>31</v>
      </c>
      <c r="G480">
        <v>0</v>
      </c>
      <c r="H480" t="s">
        <v>28</v>
      </c>
      <c r="I480" s="35">
        <v>0</v>
      </c>
      <c r="K480" s="31" t="s">
        <v>29</v>
      </c>
      <c r="L480" s="36">
        <f t="shared" si="94"/>
        <v>0</v>
      </c>
      <c r="M480" s="37"/>
    </row>
    <row r="481" spans="1:13">
      <c r="A481" s="33"/>
      <c r="B481" s="34">
        <v>2</v>
      </c>
      <c r="C481" s="34" t="s">
        <v>32</v>
      </c>
      <c r="D481" s="34"/>
      <c r="K481" s="31"/>
      <c r="L481" s="40"/>
      <c r="M481" s="30"/>
    </row>
    <row r="482" spans="1:13">
      <c r="A482" s="33"/>
      <c r="B482" s="34"/>
      <c r="C482" s="1" t="s">
        <v>33</v>
      </c>
      <c r="D482" s="41"/>
      <c r="E482">
        <v>5</v>
      </c>
      <c r="F482" t="s">
        <v>34</v>
      </c>
      <c r="G482" s="38">
        <v>1</v>
      </c>
      <c r="H482" t="s">
        <v>28</v>
      </c>
      <c r="I482" s="42">
        <v>190000</v>
      </c>
      <c r="K482" s="31" t="s">
        <v>29</v>
      </c>
      <c r="L482" s="43">
        <f t="shared" ref="L482:L484" si="95">I482*G482*E482</f>
        <v>950000</v>
      </c>
      <c r="M482" s="37"/>
    </row>
    <row r="483" spans="1:13">
      <c r="A483" s="33"/>
      <c r="B483" s="34"/>
      <c r="C483" s="1" t="s">
        <v>35</v>
      </c>
      <c r="D483" s="41"/>
      <c r="E483">
        <v>4</v>
      </c>
      <c r="F483" t="s">
        <v>34</v>
      </c>
      <c r="G483" s="38">
        <v>1</v>
      </c>
      <c r="H483" t="str">
        <f t="shared" ref="H483:H484" si="96">+H482</f>
        <v>x Rp.</v>
      </c>
      <c r="I483" s="42">
        <v>50000</v>
      </c>
      <c r="K483" s="31" t="str">
        <f t="shared" ref="K483:K484" si="97">+K482</f>
        <v>Rp.</v>
      </c>
      <c r="L483" s="43">
        <f t="shared" si="95"/>
        <v>200000</v>
      </c>
      <c r="M483" s="37"/>
    </row>
    <row r="484" spans="1:13">
      <c r="A484" s="33"/>
      <c r="B484" s="34"/>
      <c r="C484" s="1" t="s">
        <v>36</v>
      </c>
      <c r="D484" s="41"/>
      <c r="E484">
        <v>0</v>
      </c>
      <c r="F484" t="s">
        <v>34</v>
      </c>
      <c r="G484" s="38">
        <v>1</v>
      </c>
      <c r="H484" t="str">
        <f t="shared" si="96"/>
        <v>x Rp.</v>
      </c>
      <c r="I484" s="42">
        <v>0</v>
      </c>
      <c r="K484" s="31" t="str">
        <f t="shared" si="97"/>
        <v>Rp.</v>
      </c>
      <c r="L484" s="43">
        <f t="shared" si="95"/>
        <v>0</v>
      </c>
      <c r="M484" s="44"/>
    </row>
    <row r="485" spans="1:13">
      <c r="A485" s="33"/>
      <c r="B485" s="34">
        <v>3</v>
      </c>
      <c r="C485" s="34" t="s">
        <v>37</v>
      </c>
      <c r="D485" s="41"/>
      <c r="G485" s="38" t="s">
        <v>38</v>
      </c>
      <c r="I485" s="42"/>
      <c r="J485" s="1" t="s">
        <v>10</v>
      </c>
      <c r="K485" s="31"/>
      <c r="L485" s="40"/>
      <c r="M485" s="37"/>
    </row>
    <row r="486" spans="1:13">
      <c r="A486" s="33"/>
      <c r="B486" s="34"/>
      <c r="C486" s="1" t="s">
        <v>33</v>
      </c>
      <c r="D486" s="41"/>
      <c r="E486">
        <v>0</v>
      </c>
      <c r="F486" t="s">
        <v>34</v>
      </c>
      <c r="G486" s="38">
        <v>1</v>
      </c>
      <c r="H486" t="str">
        <f>+H484</f>
        <v>x Rp.</v>
      </c>
      <c r="I486" s="42">
        <v>0</v>
      </c>
      <c r="K486" s="31" t="s">
        <v>29</v>
      </c>
      <c r="L486" s="40">
        <f t="shared" ref="L486:L488" si="98">+E486*G486*I486</f>
        <v>0</v>
      </c>
      <c r="M486" s="39"/>
    </row>
    <row r="487" spans="1:13">
      <c r="A487" s="33"/>
      <c r="B487" s="34"/>
      <c r="C487" s="1" t="s">
        <v>35</v>
      </c>
      <c r="D487" s="41"/>
      <c r="E487">
        <v>0</v>
      </c>
      <c r="F487" t="s">
        <v>34</v>
      </c>
      <c r="G487" s="38">
        <v>1</v>
      </c>
      <c r="H487" t="str">
        <f t="shared" ref="H487" si="99">+H486</f>
        <v>x Rp.</v>
      </c>
      <c r="I487" s="42">
        <v>0</v>
      </c>
      <c r="K487" s="31" t="str">
        <f t="shared" ref="K487" si="100">+K486</f>
        <v>Rp.</v>
      </c>
      <c r="L487" s="40">
        <f t="shared" si="98"/>
        <v>0</v>
      </c>
      <c r="M487" s="37"/>
    </row>
    <row r="488" spans="1:13">
      <c r="A488" s="33"/>
      <c r="B488" s="34"/>
      <c r="C488" s="1" t="s">
        <v>36</v>
      </c>
      <c r="D488" s="41"/>
      <c r="E488">
        <v>0</v>
      </c>
      <c r="F488" t="s">
        <v>34</v>
      </c>
      <c r="G488" s="38">
        <v>1</v>
      </c>
      <c r="H488" t="s">
        <v>28</v>
      </c>
      <c r="I488" s="42">
        <v>0</v>
      </c>
      <c r="K488" s="31" t="s">
        <v>29</v>
      </c>
      <c r="L488" s="40">
        <f t="shared" si="98"/>
        <v>0</v>
      </c>
      <c r="M488" s="30"/>
    </row>
    <row r="489" spans="1:13">
      <c r="A489" s="33"/>
      <c r="B489" s="34">
        <v>4</v>
      </c>
      <c r="C489" s="34" t="s">
        <v>39</v>
      </c>
      <c r="D489" s="41"/>
      <c r="G489" s="38" t="s">
        <v>38</v>
      </c>
      <c r="I489" s="42"/>
      <c r="J489" s="1" t="s">
        <v>10</v>
      </c>
      <c r="K489" s="31"/>
      <c r="L489" s="40"/>
      <c r="M489" s="37"/>
    </row>
    <row r="490" spans="1:13">
      <c r="A490" s="33"/>
      <c r="B490" s="34"/>
      <c r="C490" s="1" t="s">
        <v>40</v>
      </c>
      <c r="D490" s="41"/>
      <c r="E490">
        <v>0</v>
      </c>
      <c r="F490" t="s">
        <v>34</v>
      </c>
      <c r="G490" s="38">
        <v>1</v>
      </c>
      <c r="H490" t="str">
        <f>+H491</f>
        <v>x Rp.</v>
      </c>
      <c r="I490" s="42">
        <v>0</v>
      </c>
      <c r="K490" s="31" t="str">
        <f>+K488</f>
        <v>Rp.</v>
      </c>
      <c r="L490" s="40">
        <f t="shared" ref="L490:L492" si="101">+E490*G490*I490</f>
        <v>0</v>
      </c>
      <c r="M490" s="45"/>
    </row>
    <row r="491" spans="1:13">
      <c r="A491" s="33"/>
      <c r="B491" s="34"/>
      <c r="C491" s="1" t="s">
        <v>41</v>
      </c>
      <c r="D491" s="41"/>
      <c r="E491">
        <v>0</v>
      </c>
      <c r="F491" t="s">
        <v>34</v>
      </c>
      <c r="G491" s="38">
        <v>1</v>
      </c>
      <c r="H491" t="str">
        <f>+H488</f>
        <v>x Rp.</v>
      </c>
      <c r="I491" s="42">
        <v>0</v>
      </c>
      <c r="K491" s="31" t="str">
        <f t="shared" ref="K491:K496" si="102">+K490</f>
        <v>Rp.</v>
      </c>
      <c r="L491" s="40">
        <f t="shared" si="101"/>
        <v>0</v>
      </c>
      <c r="M491" s="39"/>
    </row>
    <row r="492" spans="1:13">
      <c r="A492" s="33"/>
      <c r="B492" s="34"/>
      <c r="C492" s="1" t="s">
        <v>42</v>
      </c>
      <c r="D492" s="41"/>
      <c r="E492">
        <v>0</v>
      </c>
      <c r="F492" t="s">
        <v>34</v>
      </c>
      <c r="G492" s="38">
        <v>1</v>
      </c>
      <c r="H492" t="str">
        <f t="shared" ref="H492" si="103">+H491</f>
        <v>x Rp.</v>
      </c>
      <c r="I492" s="42">
        <v>0</v>
      </c>
      <c r="K492" s="31" t="str">
        <f t="shared" si="102"/>
        <v>Rp.</v>
      </c>
      <c r="L492" s="40">
        <f t="shared" si="101"/>
        <v>0</v>
      </c>
      <c r="M492" s="37"/>
    </row>
    <row r="493" spans="1:13">
      <c r="A493" s="33"/>
      <c r="B493" s="34">
        <v>5</v>
      </c>
      <c r="C493" s="34" t="s">
        <v>43</v>
      </c>
      <c r="D493" s="41"/>
      <c r="G493" s="38" t="s">
        <v>38</v>
      </c>
      <c r="I493" s="42"/>
      <c r="J493" s="1" t="s">
        <v>10</v>
      </c>
      <c r="K493" s="31"/>
      <c r="L493" s="40"/>
      <c r="M493" s="37"/>
    </row>
    <row r="494" spans="1:13">
      <c r="A494" s="33"/>
      <c r="B494" s="34"/>
      <c r="C494" s="1" t="s">
        <v>44</v>
      </c>
      <c r="D494" s="41"/>
      <c r="E494">
        <v>0</v>
      </c>
      <c r="F494" t="str">
        <f>+F495</f>
        <v>hari x</v>
      </c>
      <c r="G494" s="38">
        <v>1</v>
      </c>
      <c r="H494" t="str">
        <f>+H495</f>
        <v>x Rp.</v>
      </c>
      <c r="I494" s="42">
        <v>0</v>
      </c>
      <c r="K494" s="31" t="str">
        <f>+K492</f>
        <v>Rp.</v>
      </c>
      <c r="L494" s="40">
        <f t="shared" ref="L494:L496" si="104">+E494*G494*I494</f>
        <v>0</v>
      </c>
      <c r="M494" s="45"/>
    </row>
    <row r="495" spans="1:13">
      <c r="A495" s="33"/>
      <c r="B495" s="34"/>
      <c r="C495" s="1" t="s">
        <v>45</v>
      </c>
      <c r="D495" s="41"/>
      <c r="E495">
        <v>0</v>
      </c>
      <c r="F495" t="str">
        <f>+F492</f>
        <v>hari x</v>
      </c>
      <c r="G495" s="38">
        <v>1</v>
      </c>
      <c r="H495" t="str">
        <f>+H492</f>
        <v>x Rp.</v>
      </c>
      <c r="I495" s="42">
        <v>0</v>
      </c>
      <c r="K495" s="31" t="str">
        <f t="shared" si="102"/>
        <v>Rp.</v>
      </c>
      <c r="L495" s="40">
        <f t="shared" si="104"/>
        <v>0</v>
      </c>
      <c r="M495" s="39"/>
    </row>
    <row r="496" spans="1:13">
      <c r="A496" s="33"/>
      <c r="B496" s="34">
        <v>6</v>
      </c>
      <c r="C496" s="34" t="s">
        <v>46</v>
      </c>
      <c r="D496" s="41"/>
      <c r="E496">
        <v>0</v>
      </c>
      <c r="F496" t="s">
        <v>47</v>
      </c>
      <c r="G496" s="38">
        <v>1</v>
      </c>
      <c r="H496" t="str">
        <f>+H494</f>
        <v>x Rp.</v>
      </c>
      <c r="I496" s="42">
        <v>0</v>
      </c>
      <c r="K496" s="31" t="str">
        <f t="shared" si="102"/>
        <v>Rp.</v>
      </c>
      <c r="L496" s="40">
        <f t="shared" si="104"/>
        <v>0</v>
      </c>
      <c r="M496" s="37"/>
    </row>
    <row r="497" spans="1:13">
      <c r="A497" s="33"/>
      <c r="B497" s="34"/>
      <c r="D497" s="41"/>
      <c r="G497" s="38"/>
      <c r="I497" s="42"/>
      <c r="K497" s="31"/>
      <c r="L497" s="40"/>
      <c r="M497" s="30"/>
    </row>
    <row r="498" spans="1:13">
      <c r="A498" s="33"/>
      <c r="C498" s="1" t="s">
        <v>10</v>
      </c>
      <c r="D498" t="s">
        <v>10</v>
      </c>
      <c r="K498" s="31"/>
      <c r="L498" s="40"/>
      <c r="M498" s="30"/>
    </row>
    <row r="499" spans="1:13">
      <c r="A499" s="33"/>
      <c r="B499" s="34" t="s">
        <v>48</v>
      </c>
      <c r="E499" t="s">
        <v>10</v>
      </c>
      <c r="K499" s="31" t="s">
        <v>29</v>
      </c>
      <c r="L499" s="46">
        <f>SUM(L478:L496)</f>
        <v>1150000</v>
      </c>
      <c r="M499" s="30"/>
    </row>
    <row r="500" spans="1:13">
      <c r="A500" s="33"/>
      <c r="D500" t="s">
        <v>10</v>
      </c>
      <c r="E500" t="s">
        <v>10</v>
      </c>
      <c r="J500" t="s">
        <v>10</v>
      </c>
      <c r="K500" s="31" t="s">
        <v>10</v>
      </c>
      <c r="L500" s="40"/>
      <c r="M500" s="30"/>
    </row>
    <row r="501" spans="1:13">
      <c r="A501" s="33" t="s">
        <v>49</v>
      </c>
      <c r="B501" s="34" t="s">
        <v>50</v>
      </c>
      <c r="K501" s="31"/>
      <c r="L501" s="40"/>
      <c r="M501" s="30"/>
    </row>
    <row r="502" spans="1:13">
      <c r="A502" s="33"/>
      <c r="B502" s="34">
        <v>1</v>
      </c>
      <c r="C502" s="34" t="s">
        <v>51</v>
      </c>
      <c r="K502" s="31"/>
      <c r="L502" s="40"/>
      <c r="M502" s="30"/>
    </row>
    <row r="503" spans="1:13">
      <c r="A503" s="33"/>
      <c r="C503" s="1" t="s">
        <v>52</v>
      </c>
      <c r="K503" s="31" t="s">
        <v>29</v>
      </c>
      <c r="L503" s="40">
        <v>0</v>
      </c>
      <c r="M503" s="30"/>
    </row>
    <row r="504" spans="1:13">
      <c r="A504" s="33"/>
      <c r="C504" s="1" t="s">
        <v>53</v>
      </c>
      <c r="K504" s="31" t="s">
        <v>29</v>
      </c>
      <c r="L504" s="40">
        <v>0</v>
      </c>
      <c r="M504" s="30"/>
    </row>
    <row r="505" spans="1:13">
      <c r="A505" s="33"/>
      <c r="C505" s="1" t="s">
        <v>54</v>
      </c>
      <c r="K505" s="31" t="s">
        <v>29</v>
      </c>
      <c r="L505" s="40">
        <v>0</v>
      </c>
      <c r="M505" s="30"/>
    </row>
    <row r="506" spans="1:13">
      <c r="A506" s="33"/>
      <c r="K506" s="31" t="s">
        <v>29</v>
      </c>
      <c r="L506" s="40">
        <v>0</v>
      </c>
      <c r="M506" s="30"/>
    </row>
    <row r="507" spans="1:13">
      <c r="A507" s="33"/>
      <c r="B507" s="34">
        <v>2</v>
      </c>
      <c r="C507" s="34" t="s">
        <v>55</v>
      </c>
      <c r="K507" s="31"/>
      <c r="L507" s="40"/>
      <c r="M507" s="30"/>
    </row>
    <row r="508" spans="1:13">
      <c r="A508" s="33"/>
      <c r="C508" s="1" t="s">
        <v>56</v>
      </c>
      <c r="D508" t="s">
        <v>57</v>
      </c>
      <c r="E508" t="s">
        <v>58</v>
      </c>
      <c r="F508" t="s">
        <v>34</v>
      </c>
      <c r="H508" t="s">
        <v>59</v>
      </c>
      <c r="I508" t="s">
        <v>60</v>
      </c>
      <c r="K508" s="31" t="s">
        <v>29</v>
      </c>
      <c r="L508" s="40">
        <v>0</v>
      </c>
      <c r="M508" s="30"/>
    </row>
    <row r="509" spans="1:13">
      <c r="A509" s="33"/>
      <c r="C509" s="1" t="s">
        <v>61</v>
      </c>
      <c r="K509" s="31"/>
      <c r="L509" s="40"/>
      <c r="M509" s="30"/>
    </row>
    <row r="510" spans="1:13">
      <c r="A510" s="33"/>
      <c r="B510" s="34">
        <v>3</v>
      </c>
      <c r="C510" s="1" t="s">
        <v>62</v>
      </c>
      <c r="K510" s="31"/>
      <c r="L510" s="40"/>
      <c r="M510" s="30"/>
    </row>
    <row r="511" spans="1:13">
      <c r="A511" s="33"/>
      <c r="B511" s="34"/>
      <c r="C511" s="1" t="s">
        <v>40</v>
      </c>
      <c r="E511">
        <v>0</v>
      </c>
      <c r="F511" t="str">
        <f>+F494</f>
        <v>hari x</v>
      </c>
      <c r="G511" s="38">
        <v>1</v>
      </c>
      <c r="H511">
        <f>+H512</f>
        <v>0</v>
      </c>
      <c r="I511" s="42">
        <v>0</v>
      </c>
      <c r="K511" s="31" t="str">
        <f>+K508</f>
        <v>Rp.</v>
      </c>
      <c r="L511" s="40">
        <f t="shared" ref="L511:L513" si="105">+E511*G511*I511</f>
        <v>0</v>
      </c>
      <c r="M511" s="30"/>
    </row>
    <row r="512" spans="1:13">
      <c r="A512" s="33"/>
      <c r="B512" s="34"/>
      <c r="C512" s="1" t="s">
        <v>41</v>
      </c>
      <c r="E512">
        <v>0</v>
      </c>
      <c r="F512" t="str">
        <f>+F511</f>
        <v>hari x</v>
      </c>
      <c r="G512" s="38">
        <v>1</v>
      </c>
      <c r="H512">
        <f>+H509</f>
        <v>0</v>
      </c>
      <c r="I512" s="42">
        <v>0</v>
      </c>
      <c r="K512" s="31" t="str">
        <f>+K511</f>
        <v>Rp.</v>
      </c>
      <c r="L512" s="40">
        <f t="shared" si="105"/>
        <v>0</v>
      </c>
      <c r="M512" s="30"/>
    </row>
    <row r="513" spans="1:13">
      <c r="A513" s="33"/>
      <c r="B513" s="34"/>
      <c r="C513" s="1" t="s">
        <v>42</v>
      </c>
      <c r="E513">
        <v>0</v>
      </c>
      <c r="F513" t="str">
        <f t="shared" ref="F513" si="106">+F512</f>
        <v>hari x</v>
      </c>
      <c r="G513" s="38">
        <v>0.5</v>
      </c>
      <c r="H513">
        <f t="shared" ref="H513" si="107">+H512</f>
        <v>0</v>
      </c>
      <c r="I513" s="42">
        <v>0</v>
      </c>
      <c r="K513" s="31" t="str">
        <f t="shared" ref="K513" si="108">+K512</f>
        <v>Rp.</v>
      </c>
      <c r="L513" s="40">
        <f t="shared" si="105"/>
        <v>0</v>
      </c>
      <c r="M513" s="30"/>
    </row>
    <row r="514" spans="1:13">
      <c r="A514" s="33"/>
      <c r="B514">
        <v>4</v>
      </c>
      <c r="C514" s="1" t="s">
        <v>63</v>
      </c>
      <c r="G514" s="41"/>
      <c r="I514" s="1" t="s">
        <v>10</v>
      </c>
      <c r="K514" s="31"/>
      <c r="L514" s="40"/>
      <c r="M514" s="30"/>
    </row>
    <row r="515" spans="1:13">
      <c r="A515" s="33"/>
      <c r="K515" s="31"/>
      <c r="L515" s="40"/>
      <c r="M515" s="30"/>
    </row>
    <row r="516" spans="1:13">
      <c r="A516" s="33"/>
      <c r="B516" s="34" t="s">
        <v>64</v>
      </c>
      <c r="C516" s="34"/>
      <c r="K516" s="31" t="s">
        <v>29</v>
      </c>
      <c r="L516" s="46">
        <f>SUM(L503:L515)</f>
        <v>0</v>
      </c>
      <c r="M516" s="30"/>
    </row>
    <row r="517" spans="1:13">
      <c r="A517" s="33"/>
      <c r="K517" s="31"/>
      <c r="L517" s="40"/>
      <c r="M517" s="30"/>
    </row>
    <row r="518" ht="15.15" spans="1:13">
      <c r="A518" s="33" t="s">
        <v>65</v>
      </c>
      <c r="B518" s="34" t="s">
        <v>66</v>
      </c>
      <c r="C518" s="34"/>
      <c r="K518" s="31" t="s">
        <v>29</v>
      </c>
      <c r="L518" s="46">
        <f>L516+L499</f>
        <v>1150000</v>
      </c>
      <c r="M518" s="47"/>
    </row>
    <row r="519" spans="1:13">
      <c r="A519" s="30"/>
      <c r="G519" t="s">
        <v>10</v>
      </c>
      <c r="K519" s="48"/>
      <c r="L519" s="49"/>
      <c r="M519" s="47"/>
    </row>
    <row r="520" spans="1:13">
      <c r="A520" s="50"/>
      <c r="B520" s="51"/>
      <c r="C520" s="52"/>
      <c r="D520" s="52"/>
      <c r="E520" s="52"/>
      <c r="F520" s="53"/>
      <c r="G520" s="53"/>
      <c r="H520" s="53"/>
      <c r="I520" s="53"/>
      <c r="J520" s="54"/>
      <c r="K520" s="55"/>
      <c r="L520" s="54"/>
      <c r="M520" s="56"/>
    </row>
    <row r="521" spans="1:13">
      <c r="B521" t="s">
        <v>10</v>
      </c>
      <c r="K521" s="57"/>
      <c r="L521" s="57"/>
      <c r="M521" s="57"/>
    </row>
    <row r="522" spans="1:13">
      <c r="A522" t="s">
        <v>67</v>
      </c>
      <c r="H522" t="s">
        <v>68</v>
      </c>
    </row>
    <row r="523" spans="1:13">
      <c r="B523">
        <v>1</v>
      </c>
      <c r="C523" s="34" t="s">
        <v>29</v>
      </c>
      <c r="D523" s="34"/>
      <c r="E523" s="58">
        <f>+L518</f>
        <v>1150000</v>
      </c>
      <c r="H523">
        <v>1</v>
      </c>
      <c r="I523" s="34" t="s">
        <v>29</v>
      </c>
      <c r="L523" s="59">
        <f>+L518</f>
        <v>1150000</v>
      </c>
    </row>
    <row r="524" spans="1:13">
      <c r="A524" s="60"/>
      <c r="C524" s="34"/>
      <c r="I524" s="34"/>
    </row>
    <row r="525" spans="1:13">
      <c r="G525" t="s">
        <v>10</v>
      </c>
    </row>
    <row r="526" spans="1:13">
      <c r="B526" s="61" t="s">
        <v>69</v>
      </c>
      <c r="C526" s="61"/>
      <c r="H526" s="62" t="s">
        <v>70</v>
      </c>
      <c r="I526" s="62"/>
      <c r="J526" s="62"/>
      <c r="K526" s="62"/>
      <c r="L526" s="62"/>
    </row>
    <row r="527" spans="1:13">
      <c r="H527" s="63"/>
      <c r="I527" s="63"/>
      <c r="J527" s="63"/>
      <c r="K527" s="63"/>
      <c r="L527" s="63"/>
    </row>
    <row r="528" spans="1:13">
      <c r="H528" s="63"/>
      <c r="I528" s="63"/>
      <c r="J528" s="63"/>
      <c r="K528" s="63"/>
      <c r="L528" s="63"/>
    </row>
    <row r="529" spans="1:13">
      <c r="H529" s="63"/>
      <c r="I529" s="63"/>
      <c r="J529" s="63"/>
      <c r="K529" s="63"/>
      <c r="L529" s="63"/>
    </row>
    <row r="531" spans="1:13">
      <c r="B531" s="61" t="s">
        <v>71</v>
      </c>
      <c r="C531" s="61"/>
      <c r="H531" s="62" t="str">
        <f>E470</f>
        <v>MUH. ARDI</v>
      </c>
      <c r="I531" s="62"/>
      <c r="J531" s="62"/>
      <c r="K531" s="62"/>
      <c r="L531" s="62"/>
    </row>
    <row r="532" ht="16.2" spans="1:13">
      <c r="A532" s="2"/>
      <c r="B532" s="3"/>
      <c r="C532" s="4"/>
      <c r="D532" s="4"/>
      <c r="E532" s="4"/>
      <c r="F532" s="2"/>
      <c r="G532" s="2"/>
      <c r="H532" s="2"/>
      <c r="I532" s="3"/>
      <c r="J532" s="3"/>
      <c r="K532" s="3"/>
      <c r="L532" s="3"/>
      <c r="M532" s="3"/>
    </row>
    <row r="533" ht="16.2" spans="1:13">
      <c r="A533" s="2"/>
      <c r="B533" s="5"/>
      <c r="C533" s="4"/>
      <c r="D533" s="4"/>
      <c r="E533" s="4"/>
      <c r="F533" s="2"/>
      <c r="G533" s="2"/>
      <c r="H533" s="2"/>
      <c r="I533" s="3"/>
      <c r="J533" s="3"/>
      <c r="K533" s="3"/>
      <c r="L533" s="3"/>
      <c r="M533" s="3"/>
    </row>
    <row r="534" ht="16.2" spans="1:13">
      <c r="A534" s="2"/>
      <c r="B534" s="5"/>
      <c r="C534" s="6"/>
      <c r="D534" s="3"/>
      <c r="E534" s="2"/>
      <c r="F534" s="2"/>
      <c r="G534" s="2"/>
      <c r="H534" s="2"/>
      <c r="I534" s="3"/>
      <c r="J534" s="3"/>
      <c r="K534" s="3"/>
      <c r="L534" s="3"/>
      <c r="M534" s="3"/>
    </row>
    <row r="535" ht="15.6" spans="1:13">
      <c r="A535" s="7"/>
      <c r="B535" s="8"/>
      <c r="C535" s="7"/>
      <c r="D535" s="9"/>
      <c r="E535" s="9"/>
      <c r="F535" s="10"/>
      <c r="G535" s="10"/>
      <c r="H535" s="9"/>
      <c r="I535" s="10"/>
      <c r="J535" s="10"/>
      <c r="K535" s="11"/>
      <c r="L535" s="7"/>
      <c r="M535" s="3"/>
    </row>
    <row r="536" ht="15.6" spans="1:13">
      <c r="A536" s="12"/>
      <c r="B536" s="13"/>
      <c r="C536" s="7"/>
      <c r="D536" s="9"/>
      <c r="E536" s="9"/>
      <c r="F536" s="10"/>
      <c r="G536" s="10"/>
      <c r="H536" s="9"/>
      <c r="I536" s="10"/>
      <c r="J536" s="10"/>
      <c r="K536" s="7"/>
      <c r="L536" s="73" t="s">
        <v>0</v>
      </c>
      <c r="M536" s="3"/>
    </row>
    <row r="537" ht="16.2" spans="1:13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3"/>
      <c r="M537" s="3"/>
    </row>
    <row r="538" ht="15.6" spans="1:13">
      <c r="A538" s="14" t="s">
        <v>1</v>
      </c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40" ht="15" spans="1:13">
      <c r="C540" s="1" t="s">
        <v>2</v>
      </c>
      <c r="D540" t="s">
        <v>3</v>
      </c>
      <c r="E540" s="15"/>
    </row>
    <row r="541" spans="1:13">
      <c r="C541" s="1" t="s">
        <v>4</v>
      </c>
      <c r="D541" t="s">
        <v>3</v>
      </c>
      <c r="E541" s="65">
        <v>46216</v>
      </c>
      <c r="F541" s="17"/>
      <c r="G541" s="66">
        <v>46218</v>
      </c>
      <c r="H541" s="66"/>
      <c r="I541" s="66"/>
    </row>
    <row r="542" ht="15" spans="1:13">
      <c r="C542" s="1" t="s">
        <v>6</v>
      </c>
      <c r="D542" t="s">
        <v>3</v>
      </c>
      <c r="E542" s="15" t="s">
        <v>76</v>
      </c>
    </row>
    <row r="543" spans="1:13">
      <c r="C543" s="19" t="s">
        <v>8</v>
      </c>
      <c r="D543" t="s">
        <v>3</v>
      </c>
      <c r="E543" s="20" t="s">
        <v>78</v>
      </c>
      <c r="F543" s="20"/>
      <c r="G543" s="20"/>
      <c r="H543" s="20"/>
      <c r="I543" s="20"/>
      <c r="J543" s="20"/>
      <c r="K543" s="20"/>
      <c r="L543" s="20"/>
      <c r="M543" s="20"/>
    </row>
    <row r="544" spans="1:13">
      <c r="C544"/>
      <c r="E544" s="20"/>
      <c r="F544" s="20"/>
      <c r="G544" s="20"/>
      <c r="H544" s="20"/>
      <c r="I544" s="20"/>
      <c r="J544" s="20"/>
      <c r="K544" s="20"/>
      <c r="L544" s="20"/>
      <c r="M544" s="20"/>
    </row>
    <row r="545" spans="1:13">
      <c r="C545" s="1" t="s">
        <v>11</v>
      </c>
      <c r="D545" t="s">
        <v>3</v>
      </c>
      <c r="E545" s="21" t="s">
        <v>12</v>
      </c>
      <c r="F545" s="16"/>
      <c r="G545" s="17"/>
      <c r="H545" s="18"/>
      <c r="I545" s="18"/>
    </row>
    <row r="546" ht="15.6" spans="1:13">
      <c r="C546" s="1" t="s">
        <v>16</v>
      </c>
      <c r="D546" t="s">
        <v>3</v>
      </c>
      <c r="E546" s="22" t="s">
        <v>17</v>
      </c>
      <c r="F546" s="22"/>
      <c r="G546" s="22"/>
      <c r="H546" s="22"/>
      <c r="I546" s="22"/>
    </row>
    <row r="547" ht="15.6" spans="1:13">
      <c r="C547" s="1" t="s">
        <v>18</v>
      </c>
      <c r="D547" t="s">
        <v>3</v>
      </c>
      <c r="E547" s="23" t="s">
        <v>19</v>
      </c>
      <c r="F547" s="24"/>
    </row>
    <row r="548" spans="1:13">
      <c r="E548" s="24"/>
    </row>
    <row r="549" spans="1:13">
      <c r="A549" s="25" t="s">
        <v>20</v>
      </c>
      <c r="B549" s="26" t="s">
        <v>21</v>
      </c>
      <c r="C549" s="27"/>
      <c r="D549" s="27"/>
      <c r="E549" s="27"/>
      <c r="F549" s="27"/>
      <c r="G549" s="27"/>
      <c r="H549" s="27"/>
      <c r="I549" s="27"/>
      <c r="J549" s="28"/>
      <c r="K549" s="26" t="s">
        <v>22</v>
      </c>
      <c r="L549" s="28"/>
      <c r="M549" s="29" t="s">
        <v>23</v>
      </c>
    </row>
    <row r="550" spans="1:13">
      <c r="A550" s="30"/>
      <c r="K550" s="31"/>
      <c r="L550" s="32"/>
      <c r="M550" s="30"/>
    </row>
    <row r="551" spans="1:13">
      <c r="A551" s="33" t="s">
        <v>24</v>
      </c>
      <c r="B551" t="s">
        <v>25</v>
      </c>
      <c r="K551" s="31"/>
      <c r="L551" s="32"/>
      <c r="M551" s="30"/>
    </row>
    <row r="552" spans="1:13">
      <c r="A552" s="33"/>
      <c r="K552" s="31"/>
      <c r="L552" s="32"/>
      <c r="M552" s="30"/>
    </row>
    <row r="553" spans="1:13">
      <c r="A553" s="33"/>
      <c r="B553" s="34">
        <v>1</v>
      </c>
      <c r="C553" s="34" t="s">
        <v>26</v>
      </c>
      <c r="K553" s="31"/>
      <c r="L553" s="32"/>
      <c r="M553" s="30"/>
    </row>
    <row r="554" spans="1:13">
      <c r="A554" s="33"/>
      <c r="B554" s="34"/>
      <c r="C554" s="1" t="s">
        <v>27</v>
      </c>
      <c r="G554">
        <v>0</v>
      </c>
      <c r="H554" s="1" t="s">
        <v>28</v>
      </c>
      <c r="I554" s="35">
        <v>0</v>
      </c>
      <c r="K554" s="31" t="s">
        <v>29</v>
      </c>
      <c r="L554" s="36">
        <f t="shared" ref="L554:L556" si="109">+I554*G554</f>
        <v>0</v>
      </c>
      <c r="M554" s="37"/>
    </row>
    <row r="555" spans="1:13">
      <c r="A555" s="33"/>
      <c r="B555" s="34"/>
      <c r="C555" s="1" t="s">
        <v>30</v>
      </c>
      <c r="G555">
        <v>0</v>
      </c>
      <c r="H555" t="s">
        <v>28</v>
      </c>
      <c r="I555" s="35">
        <v>0</v>
      </c>
      <c r="J555" s="38"/>
      <c r="K555" s="31" t="s">
        <v>29</v>
      </c>
      <c r="L555" s="36">
        <f t="shared" si="109"/>
        <v>0</v>
      </c>
      <c r="M555" s="39"/>
    </row>
    <row r="556" spans="1:13">
      <c r="A556" s="33"/>
      <c r="B556" s="34"/>
      <c r="C556" s="1" t="s">
        <v>31</v>
      </c>
      <c r="G556">
        <v>0</v>
      </c>
      <c r="H556" t="s">
        <v>28</v>
      </c>
      <c r="I556" s="35">
        <v>0</v>
      </c>
      <c r="K556" s="31" t="s">
        <v>29</v>
      </c>
      <c r="L556" s="36">
        <f t="shared" si="109"/>
        <v>0</v>
      </c>
      <c r="M556" s="37"/>
    </row>
    <row r="557" spans="1:13">
      <c r="A557" s="33"/>
      <c r="B557" s="34">
        <v>2</v>
      </c>
      <c r="C557" s="34" t="s">
        <v>32</v>
      </c>
      <c r="D557" s="34"/>
      <c r="K557" s="31"/>
      <c r="L557" s="40"/>
      <c r="M557" s="30"/>
    </row>
    <row r="558" spans="1:13">
      <c r="A558" s="33"/>
      <c r="B558" s="34"/>
      <c r="C558" s="1" t="s">
        <v>33</v>
      </c>
      <c r="D558" s="41"/>
      <c r="E558">
        <v>3</v>
      </c>
      <c r="F558" t="s">
        <v>34</v>
      </c>
      <c r="G558" s="38">
        <v>1</v>
      </c>
      <c r="H558" t="s">
        <v>28</v>
      </c>
      <c r="I558" s="42">
        <v>190000</v>
      </c>
      <c r="K558" s="31" t="s">
        <v>29</v>
      </c>
      <c r="L558" s="43">
        <f t="shared" ref="L558:L560" si="110">I558*G558*E558</f>
        <v>570000</v>
      </c>
      <c r="M558" s="37"/>
    </row>
    <row r="559" spans="1:13">
      <c r="A559" s="33"/>
      <c r="B559" s="34"/>
      <c r="C559" s="1" t="s">
        <v>35</v>
      </c>
      <c r="D559" s="41"/>
      <c r="E559">
        <v>2</v>
      </c>
      <c r="F559" t="s">
        <v>34</v>
      </c>
      <c r="G559" s="38">
        <v>1</v>
      </c>
      <c r="H559" t="str">
        <f t="shared" ref="H559:H560" si="111">+H558</f>
        <v>x Rp.</v>
      </c>
      <c r="I559" s="42">
        <v>50000</v>
      </c>
      <c r="K559" s="31" t="str">
        <f t="shared" ref="K559:K560" si="112">+K558</f>
        <v>Rp.</v>
      </c>
      <c r="L559" s="43">
        <f t="shared" si="110"/>
        <v>100000</v>
      </c>
      <c r="M559" s="37"/>
    </row>
    <row r="560" spans="1:13">
      <c r="A560" s="33"/>
      <c r="B560" s="34"/>
      <c r="C560" s="1" t="s">
        <v>36</v>
      </c>
      <c r="D560" s="41"/>
      <c r="E560">
        <v>0</v>
      </c>
      <c r="F560" t="s">
        <v>34</v>
      </c>
      <c r="G560" s="38">
        <v>1</v>
      </c>
      <c r="H560" t="str">
        <f t="shared" si="111"/>
        <v>x Rp.</v>
      </c>
      <c r="I560" s="42">
        <v>0</v>
      </c>
      <c r="K560" s="31" t="str">
        <f t="shared" si="112"/>
        <v>Rp.</v>
      </c>
      <c r="L560" s="43">
        <f t="shared" si="110"/>
        <v>0</v>
      </c>
      <c r="M560" s="44"/>
    </row>
    <row r="561" spans="1:13">
      <c r="A561" s="33"/>
      <c r="B561" s="34">
        <v>3</v>
      </c>
      <c r="C561" s="34" t="s">
        <v>37</v>
      </c>
      <c r="D561" s="41"/>
      <c r="G561" s="38" t="s">
        <v>38</v>
      </c>
      <c r="I561" s="42"/>
      <c r="J561" s="1" t="s">
        <v>10</v>
      </c>
      <c r="K561" s="31"/>
      <c r="L561" s="40"/>
      <c r="M561" s="37"/>
    </row>
    <row r="562" spans="1:13">
      <c r="A562" s="33"/>
      <c r="B562" s="34"/>
      <c r="C562" s="1" t="s">
        <v>33</v>
      </c>
      <c r="D562" s="41"/>
      <c r="E562">
        <v>0</v>
      </c>
      <c r="F562" t="s">
        <v>34</v>
      </c>
      <c r="G562" s="38">
        <v>1</v>
      </c>
      <c r="H562" t="str">
        <f>+H560</f>
        <v>x Rp.</v>
      </c>
      <c r="I562" s="42">
        <v>0</v>
      </c>
      <c r="K562" s="31" t="s">
        <v>29</v>
      </c>
      <c r="L562" s="40">
        <f t="shared" ref="L562:L564" si="113">+E562*G562*I562</f>
        <v>0</v>
      </c>
      <c r="M562" s="39"/>
    </row>
    <row r="563" spans="1:13">
      <c r="A563" s="33"/>
      <c r="B563" s="34"/>
      <c r="C563" s="1" t="s">
        <v>35</v>
      </c>
      <c r="D563" s="41"/>
      <c r="E563">
        <v>0</v>
      </c>
      <c r="F563" t="s">
        <v>34</v>
      </c>
      <c r="G563" s="38">
        <v>1</v>
      </c>
      <c r="H563" t="str">
        <f t="shared" ref="H563" si="114">+H562</f>
        <v>x Rp.</v>
      </c>
      <c r="I563" s="42">
        <v>0</v>
      </c>
      <c r="K563" s="31" t="str">
        <f t="shared" ref="K563" si="115">+K562</f>
        <v>Rp.</v>
      </c>
      <c r="L563" s="40">
        <f t="shared" si="113"/>
        <v>0</v>
      </c>
      <c r="M563" s="37"/>
    </row>
    <row r="564" spans="1:13">
      <c r="A564" s="33"/>
      <c r="B564" s="34"/>
      <c r="C564" s="1" t="s">
        <v>36</v>
      </c>
      <c r="D564" s="41"/>
      <c r="E564">
        <v>0</v>
      </c>
      <c r="F564" t="s">
        <v>34</v>
      </c>
      <c r="G564" s="38">
        <v>1</v>
      </c>
      <c r="H564" t="s">
        <v>28</v>
      </c>
      <c r="I564" s="42">
        <v>0</v>
      </c>
      <c r="K564" s="31" t="s">
        <v>29</v>
      </c>
      <c r="L564" s="40">
        <f t="shared" si="113"/>
        <v>0</v>
      </c>
      <c r="M564" s="30"/>
    </row>
    <row r="565" spans="1:13">
      <c r="A565" s="33"/>
      <c r="B565" s="34">
        <v>4</v>
      </c>
      <c r="C565" s="34" t="s">
        <v>39</v>
      </c>
      <c r="D565" s="41"/>
      <c r="G565" s="38" t="s">
        <v>38</v>
      </c>
      <c r="I565" s="42"/>
      <c r="J565" s="1" t="s">
        <v>10</v>
      </c>
      <c r="K565" s="31"/>
      <c r="L565" s="40"/>
      <c r="M565" s="37"/>
    </row>
    <row r="566" spans="1:13">
      <c r="A566" s="33"/>
      <c r="B566" s="34"/>
      <c r="C566" s="1" t="s">
        <v>40</v>
      </c>
      <c r="D566" s="41"/>
      <c r="E566">
        <v>0</v>
      </c>
      <c r="F566" t="s">
        <v>34</v>
      </c>
      <c r="G566" s="38">
        <v>1</v>
      </c>
      <c r="H566" t="str">
        <f>+H567</f>
        <v>x Rp.</v>
      </c>
      <c r="I566" s="42">
        <v>0</v>
      </c>
      <c r="K566" s="31" t="str">
        <f>+K564</f>
        <v>Rp.</v>
      </c>
      <c r="L566" s="40">
        <f t="shared" ref="L566:L568" si="116">+E566*G566*I566</f>
        <v>0</v>
      </c>
      <c r="M566" s="45"/>
    </row>
    <row r="567" spans="1:13">
      <c r="A567" s="33"/>
      <c r="B567" s="34"/>
      <c r="C567" s="1" t="s">
        <v>41</v>
      </c>
      <c r="D567" s="41"/>
      <c r="E567">
        <v>0</v>
      </c>
      <c r="F567" t="s">
        <v>34</v>
      </c>
      <c r="G567" s="38">
        <v>1</v>
      </c>
      <c r="H567" t="str">
        <f>+H564</f>
        <v>x Rp.</v>
      </c>
      <c r="I567" s="42">
        <v>0</v>
      </c>
      <c r="K567" s="31" t="str">
        <f t="shared" ref="K567:K572" si="117">+K566</f>
        <v>Rp.</v>
      </c>
      <c r="L567" s="40">
        <f t="shared" si="116"/>
        <v>0</v>
      </c>
      <c r="M567" s="39"/>
    </row>
    <row r="568" spans="1:13">
      <c r="A568" s="33"/>
      <c r="B568" s="34"/>
      <c r="C568" s="1" t="s">
        <v>42</v>
      </c>
      <c r="D568" s="41"/>
      <c r="E568">
        <v>0</v>
      </c>
      <c r="F568" t="s">
        <v>34</v>
      </c>
      <c r="G568" s="38">
        <v>1</v>
      </c>
      <c r="H568" t="str">
        <f t="shared" ref="H568" si="118">+H567</f>
        <v>x Rp.</v>
      </c>
      <c r="I568" s="42">
        <v>0</v>
      </c>
      <c r="K568" s="31" t="str">
        <f t="shared" si="117"/>
        <v>Rp.</v>
      </c>
      <c r="L568" s="40">
        <f t="shared" si="116"/>
        <v>0</v>
      </c>
      <c r="M568" s="37"/>
    </row>
    <row r="569" spans="1:13">
      <c r="A569" s="33"/>
      <c r="B569" s="34">
        <v>5</v>
      </c>
      <c r="C569" s="34" t="s">
        <v>43</v>
      </c>
      <c r="D569" s="41"/>
      <c r="G569" s="38" t="s">
        <v>38</v>
      </c>
      <c r="I569" s="42"/>
      <c r="J569" s="1" t="s">
        <v>10</v>
      </c>
      <c r="K569" s="31"/>
      <c r="L569" s="40"/>
      <c r="M569" s="37"/>
    </row>
    <row r="570" spans="1:13">
      <c r="A570" s="33"/>
      <c r="B570" s="34"/>
      <c r="C570" s="1" t="s">
        <v>44</v>
      </c>
      <c r="D570" s="41"/>
      <c r="E570">
        <v>0</v>
      </c>
      <c r="F570" t="str">
        <f>+F571</f>
        <v>hari x</v>
      </c>
      <c r="G570" s="38">
        <v>1</v>
      </c>
      <c r="H570" t="str">
        <f>+H571</f>
        <v>x Rp.</v>
      </c>
      <c r="I570" s="42">
        <v>0</v>
      </c>
      <c r="K570" s="31" t="str">
        <f>+K568</f>
        <v>Rp.</v>
      </c>
      <c r="L570" s="40">
        <f t="shared" ref="L570:L572" si="119">+E570*G570*I570</f>
        <v>0</v>
      </c>
      <c r="M570" s="45"/>
    </row>
    <row r="571" spans="1:13">
      <c r="A571" s="33"/>
      <c r="B571" s="34"/>
      <c r="C571" s="1" t="s">
        <v>45</v>
      </c>
      <c r="D571" s="41"/>
      <c r="E571">
        <v>0</v>
      </c>
      <c r="F571" t="str">
        <f>+F568</f>
        <v>hari x</v>
      </c>
      <c r="G571" s="38">
        <v>1</v>
      </c>
      <c r="H571" t="str">
        <f>+H568</f>
        <v>x Rp.</v>
      </c>
      <c r="I571" s="42">
        <v>0</v>
      </c>
      <c r="K571" s="31" t="str">
        <f t="shared" si="117"/>
        <v>Rp.</v>
      </c>
      <c r="L571" s="40">
        <f t="shared" si="119"/>
        <v>0</v>
      </c>
      <c r="M571" s="39"/>
    </row>
    <row r="572" spans="1:13">
      <c r="A572" s="33"/>
      <c r="B572" s="34">
        <v>6</v>
      </c>
      <c r="C572" s="34" t="s">
        <v>46</v>
      </c>
      <c r="D572" s="41"/>
      <c r="E572">
        <v>0</v>
      </c>
      <c r="F572" t="s">
        <v>47</v>
      </c>
      <c r="G572" s="38">
        <v>1</v>
      </c>
      <c r="H572" t="str">
        <f>+H570</f>
        <v>x Rp.</v>
      </c>
      <c r="I572" s="42">
        <v>0</v>
      </c>
      <c r="K572" s="31" t="str">
        <f t="shared" si="117"/>
        <v>Rp.</v>
      </c>
      <c r="L572" s="40">
        <f t="shared" si="119"/>
        <v>0</v>
      </c>
      <c r="M572" s="37"/>
    </row>
    <row r="573" spans="1:13">
      <c r="A573" s="33"/>
      <c r="B573" s="34"/>
      <c r="D573" s="41"/>
      <c r="G573" s="38"/>
      <c r="I573" s="42"/>
      <c r="K573" s="31"/>
      <c r="L573" s="40"/>
      <c r="M573" s="30"/>
    </row>
    <row r="574" spans="1:13">
      <c r="A574" s="33"/>
      <c r="C574" s="1" t="s">
        <v>10</v>
      </c>
      <c r="D574" t="s">
        <v>10</v>
      </c>
      <c r="K574" s="31"/>
      <c r="L574" s="40"/>
      <c r="M574" s="30"/>
    </row>
    <row r="575" spans="1:13">
      <c r="A575" s="33"/>
      <c r="B575" s="34" t="s">
        <v>48</v>
      </c>
      <c r="E575" t="s">
        <v>10</v>
      </c>
      <c r="K575" s="31" t="s">
        <v>29</v>
      </c>
      <c r="L575" s="46">
        <f>SUM(L554:L572)</f>
        <v>670000</v>
      </c>
      <c r="M575" s="30"/>
    </row>
    <row r="576" spans="1:13">
      <c r="A576" s="33"/>
      <c r="D576" t="s">
        <v>10</v>
      </c>
      <c r="E576" t="s">
        <v>10</v>
      </c>
      <c r="J576" t="s">
        <v>10</v>
      </c>
      <c r="K576" s="31" t="s">
        <v>10</v>
      </c>
      <c r="L576" s="40"/>
      <c r="M576" s="30"/>
    </row>
    <row r="577" spans="1:13">
      <c r="A577" s="33" t="s">
        <v>49</v>
      </c>
      <c r="B577" s="34" t="s">
        <v>50</v>
      </c>
      <c r="K577" s="31"/>
      <c r="L577" s="40"/>
      <c r="M577" s="30"/>
    </row>
    <row r="578" spans="1:13">
      <c r="A578" s="33"/>
      <c r="B578" s="34">
        <v>1</v>
      </c>
      <c r="C578" s="34" t="s">
        <v>51</v>
      </c>
      <c r="K578" s="31"/>
      <c r="L578" s="40"/>
      <c r="M578" s="30"/>
    </row>
    <row r="579" spans="1:13">
      <c r="A579" s="33"/>
      <c r="C579" s="1" t="s">
        <v>52</v>
      </c>
      <c r="K579" s="31" t="s">
        <v>29</v>
      </c>
      <c r="L579" s="40">
        <v>0</v>
      </c>
      <c r="M579" s="30"/>
    </row>
    <row r="580" spans="1:13">
      <c r="A580" s="33"/>
      <c r="C580" s="1" t="s">
        <v>53</v>
      </c>
      <c r="K580" s="31" t="s">
        <v>29</v>
      </c>
      <c r="L580" s="40">
        <v>0</v>
      </c>
      <c r="M580" s="30"/>
    </row>
    <row r="581" spans="1:13">
      <c r="A581" s="33"/>
      <c r="C581" s="1" t="s">
        <v>54</v>
      </c>
      <c r="K581" s="31" t="s">
        <v>29</v>
      </c>
      <c r="L581" s="40">
        <v>0</v>
      </c>
      <c r="M581" s="30"/>
    </row>
    <row r="582" spans="1:13">
      <c r="A582" s="33"/>
      <c r="K582" s="31" t="s">
        <v>29</v>
      </c>
      <c r="L582" s="40">
        <v>0</v>
      </c>
      <c r="M582" s="30"/>
    </row>
    <row r="583" spans="1:13">
      <c r="A583" s="33"/>
      <c r="B583" s="34">
        <v>2</v>
      </c>
      <c r="C583" s="34" t="s">
        <v>55</v>
      </c>
      <c r="K583" s="31"/>
      <c r="L583" s="40"/>
      <c r="M583" s="30"/>
    </row>
    <row r="584" spans="1:13">
      <c r="A584" s="33"/>
      <c r="C584" s="1" t="s">
        <v>56</v>
      </c>
      <c r="D584" t="s">
        <v>57</v>
      </c>
      <c r="E584" t="s">
        <v>58</v>
      </c>
      <c r="F584" t="s">
        <v>34</v>
      </c>
      <c r="H584" t="s">
        <v>59</v>
      </c>
      <c r="I584" t="s">
        <v>60</v>
      </c>
      <c r="K584" s="31" t="s">
        <v>29</v>
      </c>
      <c r="L584" s="40">
        <v>0</v>
      </c>
      <c r="M584" s="30"/>
    </row>
    <row r="585" spans="1:13">
      <c r="A585" s="33"/>
      <c r="C585" s="1" t="s">
        <v>61</v>
      </c>
      <c r="K585" s="31"/>
      <c r="L585" s="40"/>
      <c r="M585" s="30"/>
    </row>
    <row r="586" spans="1:13">
      <c r="A586" s="33"/>
      <c r="B586" s="34">
        <v>3</v>
      </c>
      <c r="C586" s="1" t="s">
        <v>62</v>
      </c>
      <c r="K586" s="31"/>
      <c r="L586" s="40"/>
      <c r="M586" s="30"/>
    </row>
    <row r="587" spans="1:13">
      <c r="A587" s="33"/>
      <c r="B587" s="34"/>
      <c r="C587" s="1" t="s">
        <v>40</v>
      </c>
      <c r="E587">
        <v>0</v>
      </c>
      <c r="F587" t="str">
        <f>+F570</f>
        <v>hari x</v>
      </c>
      <c r="G587" s="38">
        <v>1</v>
      </c>
      <c r="H587">
        <f>+H588</f>
        <v>0</v>
      </c>
      <c r="I587" s="42">
        <v>0</v>
      </c>
      <c r="K587" s="31" t="str">
        <f>+K584</f>
        <v>Rp.</v>
      </c>
      <c r="L587" s="40">
        <f t="shared" ref="L587:L589" si="120">+E587*G587*I587</f>
        <v>0</v>
      </c>
      <c r="M587" s="30"/>
    </row>
    <row r="588" spans="1:13">
      <c r="A588" s="33"/>
      <c r="B588" s="34"/>
      <c r="C588" s="1" t="s">
        <v>41</v>
      </c>
      <c r="E588">
        <v>0</v>
      </c>
      <c r="F588" t="str">
        <f>+F587</f>
        <v>hari x</v>
      </c>
      <c r="G588" s="38">
        <v>1</v>
      </c>
      <c r="H588">
        <f>+H585</f>
        <v>0</v>
      </c>
      <c r="I588" s="42">
        <v>0</v>
      </c>
      <c r="K588" s="31" t="str">
        <f>+K587</f>
        <v>Rp.</v>
      </c>
      <c r="L588" s="40">
        <f t="shared" si="120"/>
        <v>0</v>
      </c>
      <c r="M588" s="30"/>
    </row>
    <row r="589" spans="1:13">
      <c r="A589" s="33"/>
      <c r="B589" s="34"/>
      <c r="C589" s="1" t="s">
        <v>42</v>
      </c>
      <c r="E589">
        <v>0</v>
      </c>
      <c r="F589" t="str">
        <f t="shared" ref="F589" si="121">+F588</f>
        <v>hari x</v>
      </c>
      <c r="G589" s="38">
        <v>0.5</v>
      </c>
      <c r="H589">
        <f t="shared" ref="H589" si="122">+H588</f>
        <v>0</v>
      </c>
      <c r="I589" s="42">
        <v>0</v>
      </c>
      <c r="K589" s="31" t="str">
        <f t="shared" ref="K589" si="123">+K588</f>
        <v>Rp.</v>
      </c>
      <c r="L589" s="40">
        <f t="shared" si="120"/>
        <v>0</v>
      </c>
      <c r="M589" s="30"/>
    </row>
    <row r="590" spans="1:13">
      <c r="A590" s="33"/>
      <c r="B590">
        <v>4</v>
      </c>
      <c r="C590" s="1" t="s">
        <v>63</v>
      </c>
      <c r="G590" s="41"/>
      <c r="I590" s="1" t="s">
        <v>10</v>
      </c>
      <c r="K590" s="31"/>
      <c r="L590" s="40"/>
      <c r="M590" s="30"/>
    </row>
    <row r="591" spans="1:13">
      <c r="A591" s="33"/>
      <c r="K591" s="31"/>
      <c r="L591" s="40"/>
      <c r="M591" s="30"/>
    </row>
    <row r="592" spans="1:13">
      <c r="A592" s="33"/>
      <c r="B592" s="34" t="s">
        <v>64</v>
      </c>
      <c r="C592" s="34"/>
      <c r="K592" s="31" t="s">
        <v>29</v>
      </c>
      <c r="L592" s="46">
        <f>SUM(L579:L591)</f>
        <v>0</v>
      </c>
      <c r="M592" s="30"/>
    </row>
    <row r="593" spans="1:13">
      <c r="A593" s="33"/>
      <c r="K593" s="31"/>
      <c r="L593" s="40"/>
      <c r="M593" s="30"/>
    </row>
    <row r="594" ht="15.15" spans="1:13">
      <c r="A594" s="33" t="s">
        <v>65</v>
      </c>
      <c r="B594" s="34" t="s">
        <v>66</v>
      </c>
      <c r="C594" s="34"/>
      <c r="K594" s="31" t="s">
        <v>29</v>
      </c>
      <c r="L594" s="46">
        <f>L592+L575</f>
        <v>670000</v>
      </c>
      <c r="M594" s="47"/>
    </row>
    <row r="595" spans="1:13">
      <c r="A595" s="30"/>
      <c r="G595" t="s">
        <v>10</v>
      </c>
      <c r="K595" s="48"/>
      <c r="L595" s="49"/>
      <c r="M595" s="47"/>
    </row>
    <row r="596" spans="1:13">
      <c r="A596" s="50"/>
      <c r="B596" s="51"/>
      <c r="C596" s="52"/>
      <c r="D596" s="52"/>
      <c r="E596" s="52"/>
      <c r="F596" s="53"/>
      <c r="G596" s="53"/>
      <c r="H596" s="53"/>
      <c r="I596" s="53"/>
      <c r="J596" s="54"/>
      <c r="K596" s="55"/>
      <c r="L596" s="54"/>
      <c r="M596" s="56"/>
    </row>
    <row r="597" spans="1:13">
      <c r="B597" t="s">
        <v>10</v>
      </c>
      <c r="K597" s="57"/>
      <c r="L597" s="57"/>
      <c r="M597" s="57"/>
    </row>
    <row r="598" spans="1:13">
      <c r="A598" t="s">
        <v>67</v>
      </c>
      <c r="H598" t="s">
        <v>68</v>
      </c>
    </row>
    <row r="599" spans="1:13">
      <c r="B599">
        <v>1</v>
      </c>
      <c r="C599" s="34" t="s">
        <v>29</v>
      </c>
      <c r="D599" s="34"/>
      <c r="E599" s="58">
        <f>+L594</f>
        <v>670000</v>
      </c>
      <c r="H599">
        <v>1</v>
      </c>
      <c r="I599" s="34" t="s">
        <v>29</v>
      </c>
      <c r="L599" s="59">
        <f>+L594</f>
        <v>670000</v>
      </c>
    </row>
    <row r="600" spans="1:13">
      <c r="A600" s="60"/>
      <c r="C600" s="34"/>
      <c r="I600" s="34"/>
    </row>
    <row r="601" spans="1:13">
      <c r="G601" t="s">
        <v>10</v>
      </c>
    </row>
    <row r="602" spans="1:13">
      <c r="B602" s="61" t="s">
        <v>69</v>
      </c>
      <c r="C602" s="61"/>
      <c r="H602" s="62" t="s">
        <v>70</v>
      </c>
      <c r="I602" s="62"/>
      <c r="J602" s="62"/>
      <c r="K602" s="62"/>
      <c r="L602" s="62"/>
    </row>
    <row r="603" spans="1:13">
      <c r="H603" s="63"/>
      <c r="I603" s="63"/>
      <c r="J603" s="63"/>
      <c r="K603" s="63"/>
      <c r="L603" s="63"/>
    </row>
    <row r="604" spans="1:13">
      <c r="H604" s="63"/>
      <c r="I604" s="63"/>
      <c r="J604" s="63"/>
      <c r="K604" s="63"/>
      <c r="L604" s="63"/>
    </row>
    <row r="605" spans="1:13">
      <c r="H605" s="63"/>
      <c r="I605" s="63"/>
      <c r="J605" s="63"/>
      <c r="K605" s="63"/>
      <c r="L605" s="63"/>
    </row>
    <row r="607" spans="1:13">
      <c r="B607" s="61" t="s">
        <v>71</v>
      </c>
      <c r="C607" s="61"/>
      <c r="H607" s="62" t="str">
        <f>E546</f>
        <v>MUH. ARDI</v>
      </c>
      <c r="I607" s="62"/>
      <c r="J607" s="62"/>
      <c r="K607" s="62"/>
      <c r="L607" s="62"/>
    </row>
  </sheetData>
  <mergeCells count="112">
    <mergeCell ref="A7:M7"/>
    <mergeCell ref="G10:I10"/>
    <mergeCell ref="H14:I14"/>
    <mergeCell ref="E15:I15"/>
    <mergeCell ref="B18:J18"/>
    <mergeCell ref="K18:L18"/>
    <mergeCell ref="B65:E65"/>
    <mergeCell ref="K66:M66"/>
    <mergeCell ref="B71:C71"/>
    <mergeCell ref="H71:L71"/>
    <mergeCell ref="B75:C75"/>
    <mergeCell ref="H75:L75"/>
    <mergeCell ref="A82:M82"/>
    <mergeCell ref="G85:I85"/>
    <mergeCell ref="H89:I89"/>
    <mergeCell ref="E90:I90"/>
    <mergeCell ref="B93:J93"/>
    <mergeCell ref="K93:L93"/>
    <mergeCell ref="B140:E140"/>
    <mergeCell ref="K141:M141"/>
    <mergeCell ref="B146:C146"/>
    <mergeCell ref="H146:L146"/>
    <mergeCell ref="B151:C151"/>
    <mergeCell ref="H151:L151"/>
    <mergeCell ref="A158:M158"/>
    <mergeCell ref="G161:I161"/>
    <mergeCell ref="H165:I165"/>
    <mergeCell ref="E166:I166"/>
    <mergeCell ref="B169:J169"/>
    <mergeCell ref="K169:L169"/>
    <mergeCell ref="B216:E216"/>
    <mergeCell ref="K217:M217"/>
    <mergeCell ref="B222:C222"/>
    <mergeCell ref="H222:L222"/>
    <mergeCell ref="B227:C227"/>
    <mergeCell ref="H227:L227"/>
    <mergeCell ref="A234:M234"/>
    <mergeCell ref="G237:I237"/>
    <mergeCell ref="H241:I241"/>
    <mergeCell ref="E242:I242"/>
    <mergeCell ref="B245:J245"/>
    <mergeCell ref="K245:L245"/>
    <mergeCell ref="B292:E292"/>
    <mergeCell ref="K293:M293"/>
    <mergeCell ref="B298:C298"/>
    <mergeCell ref="H298:L298"/>
    <mergeCell ref="B303:C303"/>
    <mergeCell ref="H303:L303"/>
    <mergeCell ref="A310:M310"/>
    <mergeCell ref="G313:I313"/>
    <mergeCell ref="H317:I317"/>
    <mergeCell ref="E318:I318"/>
    <mergeCell ref="B321:J321"/>
    <mergeCell ref="K321:L321"/>
    <mergeCell ref="B368:E368"/>
    <mergeCell ref="K369:M369"/>
    <mergeCell ref="B374:C374"/>
    <mergeCell ref="H374:L374"/>
    <mergeCell ref="B379:C379"/>
    <mergeCell ref="H379:L379"/>
    <mergeCell ref="A386:M386"/>
    <mergeCell ref="G389:I389"/>
    <mergeCell ref="H393:I393"/>
    <mergeCell ref="E394:I394"/>
    <mergeCell ref="B397:J397"/>
    <mergeCell ref="K397:L397"/>
    <mergeCell ref="B444:E444"/>
    <mergeCell ref="K445:M445"/>
    <mergeCell ref="B450:C450"/>
    <mergeCell ref="H450:L450"/>
    <mergeCell ref="B455:C455"/>
    <mergeCell ref="H455:L455"/>
    <mergeCell ref="A462:M462"/>
    <mergeCell ref="G465:I465"/>
    <mergeCell ref="H469:I469"/>
    <mergeCell ref="E470:I470"/>
    <mergeCell ref="B473:J473"/>
    <mergeCell ref="K473:L473"/>
    <mergeCell ref="B520:E520"/>
    <mergeCell ref="K521:M521"/>
    <mergeCell ref="B526:C526"/>
    <mergeCell ref="H526:L526"/>
    <mergeCell ref="B531:C531"/>
    <mergeCell ref="H531:L531"/>
    <mergeCell ref="A538:M538"/>
    <mergeCell ref="G541:I541"/>
    <mergeCell ref="H545:I545"/>
    <mergeCell ref="E546:I546"/>
    <mergeCell ref="B549:J549"/>
    <mergeCell ref="K549:L549"/>
    <mergeCell ref="B596:E596"/>
    <mergeCell ref="K597:M597"/>
    <mergeCell ref="B602:C602"/>
    <mergeCell ref="H602:L602"/>
    <mergeCell ref="B607:C607"/>
    <mergeCell ref="H607:L607"/>
    <mergeCell ref="C1:E2"/>
    <mergeCell ref="E12:M13"/>
    <mergeCell ref="C76:E77"/>
    <mergeCell ref="E87:M88"/>
    <mergeCell ref="E543:M544"/>
    <mergeCell ref="C532:E533"/>
    <mergeCell ref="C456:E457"/>
    <mergeCell ref="E467:M468"/>
    <mergeCell ref="E391:M392"/>
    <mergeCell ref="C380:E381"/>
    <mergeCell ref="E315:M316"/>
    <mergeCell ref="C304:E305"/>
    <mergeCell ref="E239:M240"/>
    <mergeCell ref="C228:E229"/>
    <mergeCell ref="E163:M164"/>
    <mergeCell ref="C152:E153"/>
  </mergeCells>
  <pageMargins left="0.138888888888889" right="0.138888888888889" top="0.4" bottom="0.479166666666667" header="0.3" footer="0.3"/>
  <pageSetup paperSize="9" scale="67" orientation="portrait" horizontalDpi="300" verticalDpi="300"/>
  <headerFooter/>
  <rowBreaks count="6" manualBreakCount="6">
    <brk id="75" max="12" man="1"/>
    <brk id="151" max="12" man="1"/>
    <brk id="229" max="12" man="1"/>
    <brk id="303" max="12" man="1"/>
    <brk id="455" max="12" man="1"/>
    <brk id="531" max="1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7"/>
  <sheetViews>
    <sheetView view="pageBreakPreview" zoomScale="98" zoomScaleNormal="90" topLeftCell="A147" workbookViewId="0">
      <selection activeCell="F179" sqref="F179"/>
    </sheetView>
  </sheetViews>
  <sheetFormatPr defaultColWidth="9" defaultRowHeight="14.4"/>
  <cols>
    <col min="1" max="1" width="6.11111111111111" customWidth="1"/>
    <col min="2" max="2" width="3" customWidth="1"/>
    <col min="3" max="3" width="27.5555555555556" style="1" customWidth="1"/>
    <col min="4" max="4" width="3.11111111111111" customWidth="1"/>
    <col min="5" max="5" width="20.5555555555556" customWidth="1"/>
    <col min="6" max="6" width="15.4444444444444" customWidth="1"/>
    <col min="7" max="7" width="11.8888888888889" customWidth="1"/>
    <col min="8" max="8" width="5.55555555555556" customWidth="1"/>
    <col min="9" max="9" width="15.1111111111111" customWidth="1"/>
    <col min="10" max="10" width="9.44444444444444" customWidth="1"/>
    <col min="11" max="11" width="3.88888888888889" customWidth="1"/>
    <col min="12" max="12" width="12" customWidth="1"/>
    <col min="13" max="13" width="11.6666666666667" customWidth="1"/>
  </cols>
  <sheetData>
    <row r="1" ht="16.2" spans="1:17">
      <c r="A1" s="2"/>
      <c r="B1" s="3"/>
      <c r="C1" s="4"/>
      <c r="D1" s="4"/>
      <c r="E1" s="4"/>
      <c r="F1" s="2"/>
      <c r="G1" s="2"/>
      <c r="H1" s="2"/>
      <c r="I1" s="3"/>
      <c r="J1" s="3"/>
      <c r="K1" s="3"/>
      <c r="L1" s="3"/>
      <c r="M1" s="3"/>
    </row>
    <row r="2" ht="16.2" spans="1:17">
      <c r="A2" s="2"/>
      <c r="B2" s="5"/>
      <c r="C2" s="4"/>
      <c r="D2" s="4"/>
      <c r="E2" s="4"/>
      <c r="F2" s="2"/>
      <c r="G2" s="2"/>
      <c r="H2" s="2"/>
      <c r="I2" s="3"/>
      <c r="J2" s="3"/>
      <c r="K2" s="3"/>
      <c r="L2" s="3"/>
      <c r="M2" s="3"/>
    </row>
    <row r="3" ht="16.2" spans="1:17">
      <c r="A3" s="2"/>
      <c r="B3" s="5"/>
      <c r="C3" s="6"/>
      <c r="D3" s="3"/>
      <c r="E3" s="2"/>
      <c r="F3" s="2"/>
      <c r="G3" s="2"/>
      <c r="H3" s="2"/>
      <c r="I3" s="3"/>
      <c r="J3" s="3"/>
      <c r="K3" s="3"/>
      <c r="L3" s="3"/>
      <c r="M3" s="3"/>
    </row>
    <row r="4" ht="15.6" spans="1:17">
      <c r="A4" s="7"/>
      <c r="B4" s="8"/>
      <c r="C4" s="7"/>
      <c r="D4" s="9"/>
      <c r="E4" s="9"/>
      <c r="F4" s="10"/>
      <c r="G4" s="10"/>
      <c r="H4" s="9"/>
      <c r="I4" s="10"/>
      <c r="J4" s="10"/>
      <c r="K4" s="11"/>
      <c r="L4" s="7"/>
      <c r="M4" s="3"/>
    </row>
    <row r="5" ht="15.6" spans="1:17">
      <c r="A5" s="12"/>
      <c r="B5" s="13"/>
      <c r="C5" s="7"/>
      <c r="D5" s="9"/>
      <c r="E5" s="9"/>
      <c r="F5" s="10"/>
      <c r="G5" s="10"/>
      <c r="H5" s="9"/>
      <c r="I5" s="10"/>
      <c r="J5" s="10"/>
      <c r="K5" s="7"/>
      <c r="L5" s="73" t="s">
        <v>0</v>
      </c>
      <c r="M5" s="3"/>
    </row>
    <row r="6" ht="16.2" spans="1:17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 ht="15.6" spans="1:17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ht="15" spans="1:17">
      <c r="C9" s="1" t="s">
        <v>2</v>
      </c>
      <c r="D9" t="s">
        <v>3</v>
      </c>
      <c r="E9" s="15"/>
    </row>
    <row r="10" spans="1:17">
      <c r="C10" s="1" t="s">
        <v>4</v>
      </c>
      <c r="D10" t="s">
        <v>3</v>
      </c>
      <c r="E10" s="65">
        <v>46268</v>
      </c>
      <c r="F10" s="17" t="s">
        <v>5</v>
      </c>
      <c r="G10" s="66">
        <v>46268</v>
      </c>
      <c r="H10" s="66"/>
      <c r="I10" s="66"/>
    </row>
    <row r="11" ht="15" spans="1:17">
      <c r="C11" s="1" t="s">
        <v>6</v>
      </c>
      <c r="D11" t="s">
        <v>3</v>
      </c>
      <c r="E11" s="15" t="s">
        <v>84</v>
      </c>
    </row>
    <row r="12" ht="15" customHeight="1" spans="1:17">
      <c r="C12" s="19" t="s">
        <v>8</v>
      </c>
      <c r="D12" t="s">
        <v>3</v>
      </c>
      <c r="E12" s="20" t="s">
        <v>85</v>
      </c>
      <c r="F12" s="20"/>
      <c r="G12" s="20"/>
      <c r="H12" s="20"/>
      <c r="I12" s="20"/>
      <c r="J12" s="20"/>
      <c r="K12" s="20"/>
      <c r="L12" s="20"/>
      <c r="M12" s="20"/>
    </row>
    <row r="13" spans="1:17">
      <c r="C13"/>
      <c r="E13" s="20"/>
      <c r="F13" s="20"/>
      <c r="G13" s="20"/>
      <c r="H13" s="20"/>
      <c r="I13" s="20"/>
      <c r="J13" s="20"/>
      <c r="K13" s="20"/>
      <c r="L13" s="20"/>
      <c r="M13" s="20"/>
    </row>
    <row r="14" spans="1:17">
      <c r="C14" s="1" t="s">
        <v>11</v>
      </c>
      <c r="D14" t="s">
        <v>3</v>
      </c>
      <c r="E14" s="21" t="s">
        <v>13</v>
      </c>
      <c r="F14" s="16"/>
      <c r="G14" s="17"/>
      <c r="H14" s="18"/>
      <c r="I14" s="18"/>
      <c r="N14" s="21" t="s">
        <v>13</v>
      </c>
      <c r="O14" s="21" t="s">
        <v>14</v>
      </c>
      <c r="P14" s="21" t="s">
        <v>12</v>
      </c>
      <c r="Q14" s="21" t="s">
        <v>15</v>
      </c>
    </row>
    <row r="15" ht="15.6" spans="1:17">
      <c r="C15" s="1" t="s">
        <v>16</v>
      </c>
      <c r="D15" t="s">
        <v>3</v>
      </c>
      <c r="E15" s="22" t="s">
        <v>86</v>
      </c>
      <c r="F15" s="22"/>
      <c r="G15" s="22"/>
      <c r="H15" s="22"/>
      <c r="I15" s="22"/>
    </row>
    <row r="16" ht="15.6" spans="1:17">
      <c r="C16" s="1" t="s">
        <v>18</v>
      </c>
      <c r="D16" t="s">
        <v>3</v>
      </c>
      <c r="E16" s="23" t="s">
        <v>19</v>
      </c>
      <c r="F16" s="24"/>
    </row>
    <row r="17" spans="1:13">
      <c r="E17" s="24"/>
    </row>
    <row r="18" spans="1:13">
      <c r="A18" s="25" t="s">
        <v>20</v>
      </c>
      <c r="B18" s="26" t="s">
        <v>21</v>
      </c>
      <c r="C18" s="27"/>
      <c r="D18" s="27"/>
      <c r="E18" s="27"/>
      <c r="F18" s="27"/>
      <c r="G18" s="27"/>
      <c r="H18" s="27"/>
      <c r="I18" s="27"/>
      <c r="J18" s="28"/>
      <c r="K18" s="26" t="s">
        <v>22</v>
      </c>
      <c r="L18" s="28"/>
      <c r="M18" s="29" t="s">
        <v>23</v>
      </c>
    </row>
    <row r="19" spans="1:13">
      <c r="A19" s="30"/>
      <c r="K19" s="31"/>
      <c r="L19" s="32"/>
      <c r="M19" s="30"/>
    </row>
    <row r="20" spans="1:13">
      <c r="A20" s="33" t="s">
        <v>24</v>
      </c>
      <c r="B20" t="s">
        <v>25</v>
      </c>
      <c r="K20" s="31"/>
      <c r="L20" s="32"/>
      <c r="M20" s="30"/>
    </row>
    <row r="21" spans="1:13">
      <c r="A21" s="33"/>
      <c r="G21" t="s">
        <v>10</v>
      </c>
      <c r="K21" s="31"/>
      <c r="L21" s="32"/>
      <c r="M21" s="30"/>
    </row>
    <row r="22" spans="1:13">
      <c r="A22" s="33"/>
      <c r="B22" s="34">
        <v>1</v>
      </c>
      <c r="C22" s="34" t="s">
        <v>26</v>
      </c>
      <c r="K22" s="31"/>
      <c r="L22" s="32"/>
      <c r="M22" s="30"/>
    </row>
    <row r="23" spans="1:13">
      <c r="A23" s="33"/>
      <c r="B23" s="34"/>
      <c r="C23" s="1" t="s">
        <v>27</v>
      </c>
      <c r="G23">
        <v>0</v>
      </c>
      <c r="H23" s="1" t="s">
        <v>28</v>
      </c>
      <c r="I23" s="35">
        <v>0</v>
      </c>
      <c r="K23" s="31" t="s">
        <v>29</v>
      </c>
      <c r="L23" s="36">
        <f t="shared" ref="L23:L25" si="0">+I23*G23</f>
        <v>0</v>
      </c>
      <c r="M23" s="37"/>
    </row>
    <row r="24" spans="1:13">
      <c r="A24" s="33"/>
      <c r="B24" s="34"/>
      <c r="C24" s="1" t="s">
        <v>30</v>
      </c>
      <c r="G24">
        <v>0</v>
      </c>
      <c r="H24" t="s">
        <v>28</v>
      </c>
      <c r="I24" s="35">
        <v>0</v>
      </c>
      <c r="J24" s="38"/>
      <c r="K24" s="31" t="s">
        <v>29</v>
      </c>
      <c r="L24" s="36">
        <f t="shared" si="0"/>
        <v>0</v>
      </c>
      <c r="M24" s="39"/>
    </row>
    <row r="25" spans="1:13">
      <c r="A25" s="33"/>
      <c r="B25" s="34"/>
      <c r="C25" s="1" t="s">
        <v>31</v>
      </c>
      <c r="G25">
        <v>0</v>
      </c>
      <c r="H25" t="s">
        <v>28</v>
      </c>
      <c r="I25" s="35">
        <v>0</v>
      </c>
      <c r="K25" s="31" t="s">
        <v>29</v>
      </c>
      <c r="L25" s="36">
        <f t="shared" si="0"/>
        <v>0</v>
      </c>
      <c r="M25" s="37"/>
    </row>
    <row r="26" spans="1:13">
      <c r="A26" s="33"/>
      <c r="B26" s="34">
        <v>2</v>
      </c>
      <c r="C26" s="34" t="s">
        <v>32</v>
      </c>
      <c r="D26" s="34"/>
      <c r="K26" s="31"/>
      <c r="L26" s="40"/>
      <c r="M26" s="30"/>
    </row>
    <row r="27" spans="1:13">
      <c r="A27" s="33"/>
      <c r="B27" s="34"/>
      <c r="C27" s="1" t="s">
        <v>33</v>
      </c>
      <c r="D27" s="41"/>
      <c r="E27">
        <v>1</v>
      </c>
      <c r="F27" t="s">
        <v>34</v>
      </c>
      <c r="G27" s="38">
        <v>1</v>
      </c>
      <c r="H27" t="s">
        <v>28</v>
      </c>
      <c r="I27" s="42">
        <v>190000</v>
      </c>
      <c r="K27" s="31" t="s">
        <v>29</v>
      </c>
      <c r="L27" s="43">
        <f t="shared" ref="L27:L29" si="1">I27*G27*E27</f>
        <v>190000</v>
      </c>
      <c r="M27" s="37"/>
    </row>
    <row r="28" spans="1:13">
      <c r="A28" s="33"/>
      <c r="B28" s="34"/>
      <c r="C28" s="1" t="s">
        <v>35</v>
      </c>
      <c r="D28" s="41"/>
      <c r="E28">
        <v>0</v>
      </c>
      <c r="F28" t="s">
        <v>34</v>
      </c>
      <c r="G28" s="38">
        <v>1</v>
      </c>
      <c r="H28" t="str">
        <f t="shared" ref="H28:K29" si="2">+H27</f>
        <v>x Rp.</v>
      </c>
      <c r="I28" s="42">
        <v>50000</v>
      </c>
      <c r="K28" s="31" t="str">
        <f t="shared" si="2"/>
        <v>Rp.</v>
      </c>
      <c r="L28" s="43">
        <f t="shared" si="1"/>
        <v>0</v>
      </c>
      <c r="M28" s="37"/>
    </row>
    <row r="29" spans="1:13">
      <c r="A29" s="33"/>
      <c r="B29" s="34"/>
      <c r="C29" s="1" t="s">
        <v>36</v>
      </c>
      <c r="D29" s="41"/>
      <c r="E29">
        <v>0</v>
      </c>
      <c r="F29" t="s">
        <v>34</v>
      </c>
      <c r="G29" s="38">
        <v>1</v>
      </c>
      <c r="H29" t="str">
        <f t="shared" si="2"/>
        <v>x Rp.</v>
      </c>
      <c r="I29" s="42">
        <v>214000</v>
      </c>
      <c r="K29" s="31" t="str">
        <f t="shared" si="2"/>
        <v>Rp.</v>
      </c>
      <c r="L29" s="43">
        <f t="shared" si="1"/>
        <v>0</v>
      </c>
      <c r="M29" s="44"/>
    </row>
    <row r="30" spans="1:13">
      <c r="A30" s="33"/>
      <c r="B30" s="34">
        <v>3</v>
      </c>
      <c r="C30" s="34" t="s">
        <v>37</v>
      </c>
      <c r="D30" s="41"/>
      <c r="G30" s="38" t="s">
        <v>38</v>
      </c>
      <c r="I30" s="42"/>
      <c r="J30" s="1" t="s">
        <v>10</v>
      </c>
      <c r="K30" s="31"/>
      <c r="L30" s="40"/>
      <c r="M30" s="37"/>
    </row>
    <row r="31" spans="1:13">
      <c r="A31" s="33"/>
      <c r="B31" s="34"/>
      <c r="C31" s="1" t="s">
        <v>33</v>
      </c>
      <c r="D31" s="41"/>
      <c r="E31">
        <v>0</v>
      </c>
      <c r="F31" t="s">
        <v>34</v>
      </c>
      <c r="G31" s="38">
        <v>1</v>
      </c>
      <c r="H31" t="str">
        <f>+H29</f>
        <v>x Rp.</v>
      </c>
      <c r="I31" s="42">
        <v>0</v>
      </c>
      <c r="K31" s="31" t="s">
        <v>29</v>
      </c>
      <c r="L31" s="40">
        <f t="shared" ref="L31:L33" si="3">+E31*G31*I31</f>
        <v>0</v>
      </c>
      <c r="M31" s="39"/>
    </row>
    <row r="32" spans="1:13">
      <c r="A32" s="33"/>
      <c r="B32" s="34"/>
      <c r="C32" s="1" t="s">
        <v>35</v>
      </c>
      <c r="D32" s="41"/>
      <c r="E32">
        <v>0</v>
      </c>
      <c r="F32" t="s">
        <v>34</v>
      </c>
      <c r="G32" s="38">
        <v>1</v>
      </c>
      <c r="H32" t="str">
        <f t="shared" ref="H32" si="4">+H31</f>
        <v>x Rp.</v>
      </c>
      <c r="I32" s="42">
        <v>0</v>
      </c>
      <c r="J32" t="s">
        <v>10</v>
      </c>
      <c r="K32" s="31" t="str">
        <f t="shared" ref="K32" si="5">+K31</f>
        <v>Rp.</v>
      </c>
      <c r="L32" s="40">
        <f t="shared" si="3"/>
        <v>0</v>
      </c>
      <c r="M32" s="37"/>
    </row>
    <row r="33" spans="1:13">
      <c r="A33" s="33"/>
      <c r="B33" s="34"/>
      <c r="C33" s="1" t="s">
        <v>36</v>
      </c>
      <c r="D33" s="41"/>
      <c r="E33">
        <v>0</v>
      </c>
      <c r="F33" t="s">
        <v>34</v>
      </c>
      <c r="G33" s="38">
        <v>1</v>
      </c>
      <c r="H33" t="s">
        <v>28</v>
      </c>
      <c r="I33" s="42">
        <v>0</v>
      </c>
      <c r="K33" s="31" t="s">
        <v>29</v>
      </c>
      <c r="L33" s="40">
        <f t="shared" si="3"/>
        <v>0</v>
      </c>
      <c r="M33" s="30"/>
    </row>
    <row r="34" spans="1:13">
      <c r="A34" s="33"/>
      <c r="B34" s="34">
        <v>4</v>
      </c>
      <c r="C34" s="34" t="s">
        <v>39</v>
      </c>
      <c r="D34" s="41"/>
      <c r="G34" s="38" t="s">
        <v>38</v>
      </c>
      <c r="I34" s="42"/>
      <c r="J34" s="1" t="s">
        <v>10</v>
      </c>
      <c r="K34" s="31"/>
      <c r="L34" s="40"/>
      <c r="M34" s="37"/>
    </row>
    <row r="35" spans="1:13">
      <c r="A35" s="33"/>
      <c r="B35" s="34"/>
      <c r="C35" s="1" t="s">
        <v>40</v>
      </c>
      <c r="D35" s="41"/>
      <c r="E35">
        <v>0</v>
      </c>
      <c r="F35" t="s">
        <v>34</v>
      </c>
      <c r="G35" s="38">
        <v>1</v>
      </c>
      <c r="H35" t="str">
        <f>+H36</f>
        <v>x Rp.</v>
      </c>
      <c r="I35" s="42">
        <v>0</v>
      </c>
      <c r="K35" s="31" t="str">
        <f>+K33</f>
        <v>Rp.</v>
      </c>
      <c r="L35" s="40">
        <f t="shared" ref="L35:L37" si="6">+E35*G35*I35</f>
        <v>0</v>
      </c>
      <c r="M35" s="45"/>
    </row>
    <row r="36" spans="1:13">
      <c r="A36" s="33"/>
      <c r="B36" s="34"/>
      <c r="C36" s="1" t="s">
        <v>41</v>
      </c>
      <c r="D36" s="41"/>
      <c r="E36">
        <v>0</v>
      </c>
      <c r="F36" t="s">
        <v>34</v>
      </c>
      <c r="G36" s="38">
        <v>1</v>
      </c>
      <c r="H36" t="str">
        <f>+H33</f>
        <v>x Rp.</v>
      </c>
      <c r="I36" s="42">
        <v>0</v>
      </c>
      <c r="K36" s="31" t="str">
        <f t="shared" ref="K36:K41" si="7">+K35</f>
        <v>Rp.</v>
      </c>
      <c r="L36" s="40">
        <f t="shared" si="6"/>
        <v>0</v>
      </c>
      <c r="M36" s="39"/>
    </row>
    <row r="37" spans="1:13">
      <c r="A37" s="33"/>
      <c r="B37" s="34"/>
      <c r="C37" s="1" t="s">
        <v>42</v>
      </c>
      <c r="D37" s="41"/>
      <c r="E37">
        <v>0</v>
      </c>
      <c r="F37" t="s">
        <v>34</v>
      </c>
      <c r="G37" s="38">
        <v>1</v>
      </c>
      <c r="H37" t="str">
        <f t="shared" ref="H37:K37" si="8">+H36</f>
        <v>x Rp.</v>
      </c>
      <c r="I37" s="42">
        <v>0</v>
      </c>
      <c r="K37" s="31" t="str">
        <f t="shared" si="8"/>
        <v>Rp.</v>
      </c>
      <c r="L37" s="40">
        <f t="shared" si="6"/>
        <v>0</v>
      </c>
      <c r="M37" s="37"/>
    </row>
    <row r="38" spans="1:13">
      <c r="A38" s="33"/>
      <c r="B38" s="34">
        <v>5</v>
      </c>
      <c r="C38" s="34" t="s">
        <v>43</v>
      </c>
      <c r="D38" s="41"/>
      <c r="G38" s="38" t="s">
        <v>38</v>
      </c>
      <c r="I38" s="42"/>
      <c r="J38" s="1" t="s">
        <v>10</v>
      </c>
      <c r="K38" s="31"/>
      <c r="L38" s="40"/>
      <c r="M38" s="37"/>
    </row>
    <row r="39" spans="1:13">
      <c r="A39" s="33"/>
      <c r="B39" s="34"/>
      <c r="C39" s="1" t="s">
        <v>44</v>
      </c>
      <c r="D39" s="41"/>
      <c r="E39">
        <v>0</v>
      </c>
      <c r="F39" t="str">
        <f>+F40</f>
        <v>hari x</v>
      </c>
      <c r="G39" s="38">
        <v>1</v>
      </c>
      <c r="H39" t="str">
        <f>+H40</f>
        <v>x Rp.</v>
      </c>
      <c r="I39" s="42">
        <v>0</v>
      </c>
      <c r="K39" s="31" t="str">
        <f>+K37</f>
        <v>Rp.</v>
      </c>
      <c r="L39" s="40">
        <f t="shared" ref="L39:L41" si="9">+E39*G39*I39</f>
        <v>0</v>
      </c>
      <c r="M39" s="45"/>
    </row>
    <row r="40" spans="1:13">
      <c r="A40" s="33"/>
      <c r="B40" s="34"/>
      <c r="C40" s="1" t="s">
        <v>45</v>
      </c>
      <c r="D40" s="41"/>
      <c r="E40">
        <v>0</v>
      </c>
      <c r="F40" t="str">
        <f>+F37</f>
        <v>hari x</v>
      </c>
      <c r="G40" s="38">
        <v>1</v>
      </c>
      <c r="H40" t="str">
        <f>+H37</f>
        <v>x Rp.</v>
      </c>
      <c r="I40" s="42">
        <v>0</v>
      </c>
      <c r="K40" s="31" t="str">
        <f t="shared" si="7"/>
        <v>Rp.</v>
      </c>
      <c r="L40" s="40">
        <f t="shared" si="9"/>
        <v>0</v>
      </c>
      <c r="M40" s="39"/>
    </row>
    <row r="41" spans="1:13">
      <c r="A41" s="33"/>
      <c r="B41" s="34">
        <v>6</v>
      </c>
      <c r="C41" s="34" t="s">
        <v>46</v>
      </c>
      <c r="D41" s="41"/>
      <c r="E41">
        <v>0</v>
      </c>
      <c r="F41" t="s">
        <v>47</v>
      </c>
      <c r="G41" s="38">
        <v>1</v>
      </c>
      <c r="H41" t="str">
        <f>+H39</f>
        <v>x Rp.</v>
      </c>
      <c r="I41" s="42">
        <v>0</v>
      </c>
      <c r="K41" s="31" t="str">
        <f t="shared" si="7"/>
        <v>Rp.</v>
      </c>
      <c r="L41" s="40">
        <f t="shared" si="9"/>
        <v>0</v>
      </c>
      <c r="M41" s="37"/>
    </row>
    <row r="42" spans="1:13">
      <c r="A42" s="33"/>
      <c r="B42" s="34"/>
      <c r="D42" s="41"/>
      <c r="G42" s="38"/>
      <c r="I42" s="42"/>
      <c r="K42" s="31"/>
      <c r="L42" s="40"/>
      <c r="M42" s="30"/>
    </row>
    <row r="43" spans="1:13">
      <c r="A43" s="33"/>
      <c r="C43" s="1" t="s">
        <v>10</v>
      </c>
      <c r="D43" t="s">
        <v>10</v>
      </c>
      <c r="K43" s="31"/>
      <c r="L43" s="40"/>
      <c r="M43" s="30"/>
    </row>
    <row r="44" spans="1:13">
      <c r="A44" s="33"/>
      <c r="B44" s="34" t="s">
        <v>48</v>
      </c>
      <c r="E44" t="s">
        <v>10</v>
      </c>
      <c r="K44" s="31" t="s">
        <v>29</v>
      </c>
      <c r="L44" s="46">
        <f>SUM(L23:L41)</f>
        <v>190000</v>
      </c>
      <c r="M44" s="30"/>
    </row>
    <row r="45" spans="1:13">
      <c r="A45" s="33"/>
      <c r="D45" t="s">
        <v>10</v>
      </c>
      <c r="E45" t="s">
        <v>10</v>
      </c>
      <c r="J45" t="s">
        <v>10</v>
      </c>
      <c r="K45" s="31" t="s">
        <v>10</v>
      </c>
      <c r="L45" s="40"/>
      <c r="M45" s="30"/>
    </row>
    <row r="46" spans="1:13">
      <c r="A46" s="33" t="s">
        <v>49</v>
      </c>
      <c r="B46" s="34" t="s">
        <v>50</v>
      </c>
      <c r="K46" s="31"/>
      <c r="L46" s="40"/>
      <c r="M46" s="30"/>
    </row>
    <row r="47" spans="1:13">
      <c r="A47" s="33"/>
      <c r="B47" s="34">
        <v>1</v>
      </c>
      <c r="C47" s="34" t="s">
        <v>51</v>
      </c>
      <c r="K47" s="31"/>
      <c r="L47" s="40"/>
      <c r="M47" s="30"/>
    </row>
    <row r="48" spans="1:13">
      <c r="A48" s="33"/>
      <c r="C48" s="1" t="s">
        <v>52</v>
      </c>
      <c r="K48" s="31" t="s">
        <v>29</v>
      </c>
      <c r="L48" s="40">
        <v>0</v>
      </c>
      <c r="M48" s="30"/>
    </row>
    <row r="49" spans="1:13">
      <c r="A49" s="33"/>
      <c r="C49" s="1" t="s">
        <v>53</v>
      </c>
      <c r="K49" s="31" t="s">
        <v>29</v>
      </c>
      <c r="L49" s="40">
        <v>0</v>
      </c>
      <c r="M49" s="30"/>
    </row>
    <row r="50" spans="1:13">
      <c r="A50" s="33"/>
      <c r="C50" s="1" t="s">
        <v>54</v>
      </c>
      <c r="K50" s="31" t="s">
        <v>29</v>
      </c>
      <c r="L50" s="40">
        <v>0</v>
      </c>
      <c r="M50" s="30"/>
    </row>
    <row r="51" spans="1:13">
      <c r="A51" s="33"/>
      <c r="K51" s="31" t="s">
        <v>29</v>
      </c>
      <c r="L51" s="40">
        <v>0</v>
      </c>
      <c r="M51" s="30"/>
    </row>
    <row r="52" spans="1:13">
      <c r="A52" s="33"/>
      <c r="B52" s="34">
        <v>2</v>
      </c>
      <c r="C52" s="34" t="s">
        <v>55</v>
      </c>
      <c r="K52" s="31"/>
      <c r="L52" s="40"/>
      <c r="M52" s="30"/>
    </row>
    <row r="53" spans="1:13">
      <c r="A53" s="33"/>
      <c r="C53" s="1" t="s">
        <v>56</v>
      </c>
      <c r="D53" t="s">
        <v>57</v>
      </c>
      <c r="E53" t="s">
        <v>58</v>
      </c>
      <c r="F53" t="s">
        <v>34</v>
      </c>
      <c r="H53" t="s">
        <v>59</v>
      </c>
      <c r="I53" t="s">
        <v>60</v>
      </c>
      <c r="K53" s="31" t="s">
        <v>29</v>
      </c>
      <c r="L53" s="40">
        <v>0</v>
      </c>
      <c r="M53" s="30"/>
    </row>
    <row r="54" spans="1:13">
      <c r="A54" s="33"/>
      <c r="C54" s="1" t="s">
        <v>61</v>
      </c>
      <c r="K54" s="31"/>
      <c r="L54" s="40"/>
      <c r="M54" s="30"/>
    </row>
    <row r="55" spans="1:13">
      <c r="A55" s="33"/>
      <c r="B55" s="34">
        <v>3</v>
      </c>
      <c r="C55" s="1" t="s">
        <v>62</v>
      </c>
      <c r="K55" s="31"/>
      <c r="L55" s="40"/>
      <c r="M55" s="30"/>
    </row>
    <row r="56" spans="1:13">
      <c r="A56" s="33"/>
      <c r="B56" s="34"/>
      <c r="C56" s="1" t="s">
        <v>40</v>
      </c>
      <c r="E56">
        <v>0</v>
      </c>
      <c r="F56" t="str">
        <f>+F39</f>
        <v>hari x</v>
      </c>
      <c r="G56" s="38">
        <v>1</v>
      </c>
      <c r="H56">
        <f>+H57</f>
        <v>0</v>
      </c>
      <c r="I56" s="42">
        <v>0</v>
      </c>
      <c r="K56" s="31" t="str">
        <f>+K53</f>
        <v>Rp.</v>
      </c>
      <c r="L56" s="40">
        <f t="shared" ref="L56:L58" si="10">+E56*G56*I56</f>
        <v>0</v>
      </c>
      <c r="M56" s="30"/>
    </row>
    <row r="57" spans="1:13">
      <c r="A57" s="33"/>
      <c r="B57" s="34"/>
      <c r="C57" s="1" t="s">
        <v>41</v>
      </c>
      <c r="E57">
        <v>0</v>
      </c>
      <c r="F57" t="str">
        <f>+F56</f>
        <v>hari x</v>
      </c>
      <c r="G57" s="38">
        <v>1</v>
      </c>
      <c r="H57">
        <f>+H54</f>
        <v>0</v>
      </c>
      <c r="I57" s="42">
        <v>0</v>
      </c>
      <c r="K57" s="31" t="str">
        <f>+K56</f>
        <v>Rp.</v>
      </c>
      <c r="L57" s="40">
        <f t="shared" si="10"/>
        <v>0</v>
      </c>
      <c r="M57" s="30"/>
    </row>
    <row r="58" spans="1:13">
      <c r="A58" s="33"/>
      <c r="B58" s="34"/>
      <c r="C58" s="1" t="s">
        <v>42</v>
      </c>
      <c r="E58">
        <v>0</v>
      </c>
      <c r="F58" t="str">
        <f t="shared" ref="F58:K58" si="11">+F57</f>
        <v>hari x</v>
      </c>
      <c r="G58" s="38">
        <v>0.5</v>
      </c>
      <c r="H58">
        <f t="shared" si="11"/>
        <v>0</v>
      </c>
      <c r="I58" s="42">
        <v>0</v>
      </c>
      <c r="K58" s="31" t="str">
        <f t="shared" si="11"/>
        <v>Rp.</v>
      </c>
      <c r="L58" s="40">
        <f t="shared" si="10"/>
        <v>0</v>
      </c>
      <c r="M58" s="30"/>
    </row>
    <row r="59" spans="1:13">
      <c r="A59" s="33"/>
      <c r="B59">
        <v>4</v>
      </c>
      <c r="C59" s="1" t="s">
        <v>63</v>
      </c>
      <c r="G59" s="41"/>
      <c r="I59" s="1" t="s">
        <v>10</v>
      </c>
      <c r="K59" s="31"/>
      <c r="L59" s="40"/>
      <c r="M59" s="30"/>
    </row>
    <row r="60" spans="1:13">
      <c r="A60" s="33"/>
      <c r="K60" s="31"/>
      <c r="L60" s="40"/>
      <c r="M60" s="30"/>
    </row>
    <row r="61" spans="1:13">
      <c r="A61" s="33"/>
      <c r="B61" s="34" t="s">
        <v>64</v>
      </c>
      <c r="C61" s="34"/>
      <c r="K61" s="31" t="s">
        <v>29</v>
      </c>
      <c r="L61" s="46">
        <f>SUM(L48:L60)</f>
        <v>0</v>
      </c>
      <c r="M61" s="30"/>
    </row>
    <row r="62" spans="1:13">
      <c r="A62" s="33"/>
      <c r="K62" s="31"/>
      <c r="L62" s="40"/>
      <c r="M62" s="30"/>
    </row>
    <row r="63" ht="15.15" spans="1:13">
      <c r="A63" s="33" t="s">
        <v>65</v>
      </c>
      <c r="B63" s="34" t="s">
        <v>66</v>
      </c>
      <c r="C63" s="34"/>
      <c r="K63" s="31" t="s">
        <v>29</v>
      </c>
      <c r="L63" s="46">
        <f>L61+L44</f>
        <v>190000</v>
      </c>
      <c r="M63" s="47"/>
    </row>
    <row r="64" spans="1:13">
      <c r="A64" s="30"/>
      <c r="G64" t="s">
        <v>10</v>
      </c>
      <c r="K64" s="48"/>
      <c r="L64" s="49"/>
      <c r="M64" s="47"/>
    </row>
    <row r="65" spans="1:13">
      <c r="A65" s="50"/>
      <c r="B65" s="51"/>
      <c r="C65" s="52"/>
      <c r="D65" s="52"/>
      <c r="E65" s="52"/>
      <c r="F65" s="53"/>
      <c r="G65" s="53"/>
      <c r="H65" s="53"/>
      <c r="I65" s="53"/>
      <c r="J65" s="54"/>
      <c r="K65" s="55"/>
      <c r="L65" s="54"/>
      <c r="M65" s="56"/>
    </row>
    <row r="66" spans="1:13">
      <c r="B66" t="s">
        <v>10</v>
      </c>
      <c r="K66" s="57"/>
      <c r="L66" s="57"/>
      <c r="M66" s="57"/>
    </row>
    <row r="67" spans="1:13">
      <c r="A67" t="s">
        <v>67</v>
      </c>
      <c r="H67" t="s">
        <v>68</v>
      </c>
    </row>
    <row r="68" spans="1:13">
      <c r="C68" s="34" t="s">
        <v>29</v>
      </c>
      <c r="D68" s="34"/>
      <c r="E68" s="58">
        <f>+L63</f>
        <v>190000</v>
      </c>
      <c r="I68" s="34" t="s">
        <v>29</v>
      </c>
      <c r="L68" s="59">
        <f>+L63</f>
        <v>190000</v>
      </c>
    </row>
    <row r="69" spans="1:13">
      <c r="A69" s="60"/>
      <c r="C69" s="34"/>
      <c r="I69" s="34"/>
    </row>
    <row r="70" spans="1:13">
      <c r="G70" t="s">
        <v>10</v>
      </c>
    </row>
    <row r="71" spans="1:13">
      <c r="B71" s="61" t="s">
        <v>69</v>
      </c>
      <c r="C71" s="61"/>
      <c r="H71" s="62" t="s">
        <v>70</v>
      </c>
      <c r="I71" s="62"/>
      <c r="J71" s="62"/>
      <c r="K71" s="62"/>
      <c r="L71" s="62"/>
    </row>
    <row r="72" spans="1:13">
      <c r="H72" s="63"/>
      <c r="I72" s="63"/>
      <c r="J72" s="63"/>
      <c r="K72" s="63"/>
      <c r="L72" s="63"/>
    </row>
    <row r="73" spans="1:13">
      <c r="H73" s="63"/>
      <c r="I73" s="63"/>
      <c r="J73" s="63"/>
      <c r="K73" s="63"/>
      <c r="L73" s="63"/>
    </row>
    <row r="74" spans="1:13">
      <c r="H74" s="63"/>
      <c r="I74" s="63"/>
      <c r="J74" s="63"/>
      <c r="K74" s="63"/>
      <c r="L74" s="63"/>
    </row>
    <row r="75" spans="1:13">
      <c r="B75" s="61" t="s">
        <v>71</v>
      </c>
      <c r="C75" s="61"/>
      <c r="H75" s="62" t="str">
        <f>E15</f>
        <v>ANUGRAH</v>
      </c>
      <c r="I75" s="62"/>
      <c r="J75" s="62"/>
      <c r="K75" s="62"/>
      <c r="L75" s="62"/>
    </row>
    <row r="76" ht="16.2" spans="1:13">
      <c r="A76" s="2"/>
      <c r="B76" s="3"/>
      <c r="C76" s="4"/>
      <c r="D76" s="4"/>
      <c r="E76" s="4"/>
      <c r="F76" s="2"/>
      <c r="G76" s="2"/>
      <c r="H76" s="2"/>
      <c r="I76" s="3"/>
      <c r="J76" s="3"/>
      <c r="K76" s="3"/>
      <c r="L76" s="3"/>
      <c r="M76" s="3"/>
    </row>
    <row r="77" ht="16.2" spans="1:13">
      <c r="A77" s="2"/>
      <c r="B77" s="5"/>
      <c r="C77" s="4"/>
      <c r="D77" s="4"/>
      <c r="E77" s="4"/>
      <c r="F77" s="2"/>
      <c r="G77" s="2"/>
      <c r="H77" s="2"/>
      <c r="I77" s="3"/>
      <c r="J77" s="3"/>
      <c r="K77" s="3"/>
      <c r="L77" s="3"/>
      <c r="M77" s="3"/>
    </row>
    <row r="78" ht="16.2" spans="1:13">
      <c r="A78" s="2"/>
      <c r="B78" s="5"/>
      <c r="C78" s="6"/>
      <c r="D78" s="3"/>
      <c r="E78" s="2"/>
      <c r="F78" s="2"/>
      <c r="G78" s="2"/>
      <c r="H78" s="2"/>
      <c r="I78" s="3"/>
      <c r="J78" s="3"/>
      <c r="K78" s="3"/>
      <c r="L78" s="3"/>
      <c r="M78" s="3"/>
    </row>
    <row r="79" ht="15.6" spans="1:13">
      <c r="A79" s="7"/>
      <c r="B79" s="8"/>
      <c r="C79" s="7"/>
      <c r="D79" s="9"/>
      <c r="E79" s="9"/>
      <c r="F79" s="10"/>
      <c r="G79" s="10"/>
      <c r="H79" s="9"/>
      <c r="I79" s="10"/>
      <c r="J79" s="10"/>
      <c r="K79" s="11"/>
      <c r="L79" s="7"/>
      <c r="M79" s="3"/>
    </row>
    <row r="80" ht="15.6" spans="1:13">
      <c r="A80" s="12"/>
      <c r="B80" s="13"/>
      <c r="C80" s="7"/>
      <c r="D80" s="9"/>
      <c r="E80" s="9"/>
      <c r="F80" s="10"/>
      <c r="G80" s="10"/>
      <c r="H80" s="9"/>
      <c r="I80" s="10"/>
      <c r="J80" s="10"/>
      <c r="K80" s="7"/>
      <c r="L80" s="73" t="s">
        <v>0</v>
      </c>
      <c r="M80" s="3"/>
    </row>
    <row r="81" ht="16.2" spans="1:17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</row>
    <row r="82" ht="15.6" spans="1:17">
      <c r="A82" s="14" t="s">
        <v>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4" ht="15" spans="1:17">
      <c r="C84" s="1" t="s">
        <v>2</v>
      </c>
      <c r="D84" t="s">
        <v>3</v>
      </c>
      <c r="E84" s="15"/>
    </row>
    <row r="85" spans="1:17">
      <c r="C85" s="1" t="s">
        <v>4</v>
      </c>
      <c r="D85" t="s">
        <v>3</v>
      </c>
      <c r="E85" s="65">
        <v>46275</v>
      </c>
      <c r="F85" s="17" t="s">
        <v>5</v>
      </c>
      <c r="G85" s="66">
        <v>46276</v>
      </c>
      <c r="H85" s="66"/>
      <c r="I85" s="66"/>
    </row>
    <row r="86" ht="15" customHeight="1" spans="1:17">
      <c r="C86" s="1" t="s">
        <v>6</v>
      </c>
      <c r="D86" t="s">
        <v>3</v>
      </c>
      <c r="E86" s="15" t="s">
        <v>87</v>
      </c>
    </row>
    <row r="87" ht="15" customHeight="1" spans="1:17">
      <c r="C87" s="19" t="s">
        <v>8</v>
      </c>
      <c r="D87" t="s">
        <v>3</v>
      </c>
      <c r="E87" s="20" t="s">
        <v>88</v>
      </c>
      <c r="F87" s="20"/>
      <c r="G87" s="20"/>
      <c r="H87" s="20"/>
      <c r="I87" s="20"/>
      <c r="J87" s="20"/>
      <c r="K87" s="20"/>
      <c r="L87" s="20"/>
      <c r="M87" s="20"/>
    </row>
    <row r="88" spans="1:17">
      <c r="C88"/>
      <c r="E88" s="20"/>
      <c r="F88" s="20"/>
      <c r="G88" s="20"/>
      <c r="H88" s="20"/>
      <c r="I88" s="20"/>
      <c r="J88" s="20"/>
      <c r="K88" s="20"/>
      <c r="L88" s="20"/>
      <c r="M88" s="20"/>
    </row>
    <row r="89" spans="1:17">
      <c r="C89" s="1" t="s">
        <v>11</v>
      </c>
      <c r="D89" t="s">
        <v>3</v>
      </c>
      <c r="E89" s="21" t="s">
        <v>14</v>
      </c>
      <c r="F89" s="16"/>
      <c r="G89" s="17"/>
      <c r="H89" s="18"/>
      <c r="I89" s="18"/>
      <c r="N89" s="21" t="s">
        <v>13</v>
      </c>
      <c r="O89" s="21" t="s">
        <v>14</v>
      </c>
      <c r="P89" s="21" t="s">
        <v>12</v>
      </c>
      <c r="Q89" s="21" t="s">
        <v>15</v>
      </c>
    </row>
    <row r="90" ht="15.6" spans="1:17">
      <c r="C90" s="1" t="s">
        <v>16</v>
      </c>
      <c r="D90" t="s">
        <v>3</v>
      </c>
      <c r="E90" s="22" t="s">
        <v>86</v>
      </c>
      <c r="F90" s="22"/>
      <c r="G90" s="22"/>
      <c r="H90" s="22"/>
      <c r="I90" s="22"/>
    </row>
    <row r="91" ht="15.6" spans="1:17">
      <c r="C91" s="1" t="s">
        <v>18</v>
      </c>
      <c r="D91" t="s">
        <v>3</v>
      </c>
      <c r="E91" s="23" t="s">
        <v>19</v>
      </c>
      <c r="F91" s="24"/>
    </row>
    <row r="92" spans="1:17">
      <c r="E92" s="24"/>
    </row>
    <row r="93" spans="1:17">
      <c r="A93" s="25" t="s">
        <v>20</v>
      </c>
      <c r="B93" s="26" t="s">
        <v>21</v>
      </c>
      <c r="C93" s="27"/>
      <c r="D93" s="27"/>
      <c r="E93" s="27"/>
      <c r="F93" s="27"/>
      <c r="G93" s="27"/>
      <c r="H93" s="27"/>
      <c r="I93" s="27"/>
      <c r="J93" s="28"/>
      <c r="K93" s="26" t="s">
        <v>22</v>
      </c>
      <c r="L93" s="28"/>
      <c r="M93" s="29" t="s">
        <v>23</v>
      </c>
    </row>
    <row r="94" spans="1:17">
      <c r="A94" s="30"/>
      <c r="K94" s="31"/>
      <c r="L94" s="32"/>
      <c r="M94" s="30"/>
    </row>
    <row r="95" spans="1:17">
      <c r="A95" s="33" t="s">
        <v>24</v>
      </c>
      <c r="B95" t="s">
        <v>25</v>
      </c>
      <c r="K95" s="31"/>
      <c r="L95" s="32"/>
      <c r="M95" s="30"/>
    </row>
    <row r="96" spans="1:17">
      <c r="A96" s="33"/>
      <c r="K96" s="31"/>
      <c r="L96" s="32"/>
      <c r="M96" s="30"/>
    </row>
    <row r="97" spans="1:13">
      <c r="A97" s="33"/>
      <c r="B97" s="34">
        <v>1</v>
      </c>
      <c r="C97" s="34" t="s">
        <v>26</v>
      </c>
      <c r="K97" s="31"/>
      <c r="L97" s="32"/>
      <c r="M97" s="30"/>
    </row>
    <row r="98" spans="1:13">
      <c r="A98" s="33"/>
      <c r="B98" s="34"/>
      <c r="C98" s="1" t="s">
        <v>27</v>
      </c>
      <c r="G98">
        <v>0</v>
      </c>
      <c r="H98" s="1" t="s">
        <v>28</v>
      </c>
      <c r="I98" s="35">
        <v>0</v>
      </c>
      <c r="K98" s="31" t="s">
        <v>29</v>
      </c>
      <c r="L98" s="36">
        <f t="shared" ref="L98:L100" si="12">+I98*G98</f>
        <v>0</v>
      </c>
      <c r="M98" s="37"/>
    </row>
    <row r="99" spans="1:13">
      <c r="A99" s="33"/>
      <c r="B99" s="34"/>
      <c r="C99" s="1" t="s">
        <v>30</v>
      </c>
      <c r="G99">
        <v>0</v>
      </c>
      <c r="H99" t="s">
        <v>28</v>
      </c>
      <c r="I99" s="35">
        <v>0</v>
      </c>
      <c r="J99" s="38"/>
      <c r="K99" s="31" t="s">
        <v>29</v>
      </c>
      <c r="L99" s="36">
        <f t="shared" si="12"/>
        <v>0</v>
      </c>
      <c r="M99" s="39"/>
    </row>
    <row r="100" spans="1:13">
      <c r="A100" s="33"/>
      <c r="B100" s="34"/>
      <c r="C100" s="1" t="s">
        <v>31</v>
      </c>
      <c r="G100">
        <v>0</v>
      </c>
      <c r="H100" t="s">
        <v>28</v>
      </c>
      <c r="I100" s="35">
        <v>0</v>
      </c>
      <c r="K100" s="31" t="s">
        <v>29</v>
      </c>
      <c r="L100" s="36">
        <f t="shared" si="12"/>
        <v>0</v>
      </c>
      <c r="M100" s="37"/>
    </row>
    <row r="101" spans="1:13">
      <c r="A101" s="33"/>
      <c r="B101" s="34">
        <v>2</v>
      </c>
      <c r="C101" s="34" t="s">
        <v>32</v>
      </c>
      <c r="D101" s="34"/>
      <c r="K101" s="31"/>
      <c r="L101" s="40"/>
      <c r="M101" s="30"/>
    </row>
    <row r="102" spans="1:13">
      <c r="A102" s="33"/>
      <c r="B102" s="34"/>
      <c r="C102" s="1" t="s">
        <v>33</v>
      </c>
      <c r="D102" s="41"/>
      <c r="E102">
        <v>2</v>
      </c>
      <c r="F102" t="s">
        <v>34</v>
      </c>
      <c r="G102" s="38">
        <v>1</v>
      </c>
      <c r="H102" t="s">
        <v>28</v>
      </c>
      <c r="I102" s="42">
        <v>190000</v>
      </c>
      <c r="K102" s="31" t="s">
        <v>29</v>
      </c>
      <c r="L102" s="43">
        <f t="shared" ref="L102:L104" si="13">I102*G102*E102</f>
        <v>380000</v>
      </c>
      <c r="M102" s="37"/>
    </row>
    <row r="103" spans="1:13">
      <c r="A103" s="33"/>
      <c r="B103" s="34"/>
      <c r="C103" s="1" t="s">
        <v>35</v>
      </c>
      <c r="D103" s="41"/>
      <c r="E103">
        <v>1</v>
      </c>
      <c r="F103" t="s">
        <v>34</v>
      </c>
      <c r="G103" s="38">
        <v>1</v>
      </c>
      <c r="H103" t="str">
        <f t="shared" ref="H103:H104" si="14">+H102</f>
        <v>x Rp.</v>
      </c>
      <c r="I103" s="42">
        <v>50000</v>
      </c>
      <c r="K103" s="31" t="str">
        <f t="shared" ref="K103:K104" si="15">+K102</f>
        <v>Rp.</v>
      </c>
      <c r="L103" s="43">
        <f t="shared" si="13"/>
        <v>50000</v>
      </c>
      <c r="M103" s="37"/>
    </row>
    <row r="104" spans="1:13">
      <c r="A104" s="33"/>
      <c r="B104" s="34"/>
      <c r="C104" s="1" t="s">
        <v>36</v>
      </c>
      <c r="D104" s="41"/>
      <c r="E104">
        <v>0</v>
      </c>
      <c r="F104" t="s">
        <v>34</v>
      </c>
      <c r="G104" s="38">
        <v>1</v>
      </c>
      <c r="H104" t="str">
        <f t="shared" si="14"/>
        <v>x Rp.</v>
      </c>
      <c r="I104" s="42">
        <v>250000</v>
      </c>
      <c r="K104" s="31" t="str">
        <f t="shared" si="15"/>
        <v>Rp.</v>
      </c>
      <c r="L104" s="43">
        <f t="shared" si="13"/>
        <v>0</v>
      </c>
      <c r="M104" s="44"/>
    </row>
    <row r="105" spans="1:13">
      <c r="A105" s="33"/>
      <c r="B105" s="34">
        <v>3</v>
      </c>
      <c r="C105" s="34" t="s">
        <v>37</v>
      </c>
      <c r="D105" s="41"/>
      <c r="G105" s="38" t="s">
        <v>38</v>
      </c>
      <c r="I105" s="42"/>
      <c r="J105" s="1" t="s">
        <v>10</v>
      </c>
      <c r="K105" s="31"/>
      <c r="L105" s="40"/>
      <c r="M105" s="37"/>
    </row>
    <row r="106" spans="1:13">
      <c r="A106" s="33"/>
      <c r="B106" s="34"/>
      <c r="C106" s="1" t="s">
        <v>33</v>
      </c>
      <c r="D106" s="41"/>
      <c r="E106">
        <v>0</v>
      </c>
      <c r="F106" t="s">
        <v>34</v>
      </c>
      <c r="G106" s="38">
        <v>1</v>
      </c>
      <c r="H106" t="str">
        <f>+H104</f>
        <v>x Rp.</v>
      </c>
      <c r="I106" s="42">
        <v>0</v>
      </c>
      <c r="K106" s="31" t="s">
        <v>29</v>
      </c>
      <c r="L106" s="40">
        <f t="shared" ref="L106:L108" si="16">+E106*G106*I106</f>
        <v>0</v>
      </c>
      <c r="M106" s="39"/>
    </row>
    <row r="107" spans="1:13">
      <c r="A107" s="33"/>
      <c r="B107" s="34"/>
      <c r="C107" s="1" t="s">
        <v>35</v>
      </c>
      <c r="D107" s="41"/>
      <c r="E107">
        <v>0</v>
      </c>
      <c r="F107" t="s">
        <v>34</v>
      </c>
      <c r="G107" s="38">
        <v>1</v>
      </c>
      <c r="H107" t="str">
        <f t="shared" ref="H107" si="17">+H106</f>
        <v>x Rp.</v>
      </c>
      <c r="I107" s="42">
        <v>0</v>
      </c>
      <c r="K107" s="31" t="str">
        <f t="shared" ref="K107" si="18">+K106</f>
        <v>Rp.</v>
      </c>
      <c r="L107" s="40">
        <f t="shared" si="16"/>
        <v>0</v>
      </c>
      <c r="M107" s="37"/>
    </row>
    <row r="108" spans="1:13">
      <c r="A108" s="33"/>
      <c r="B108" s="34"/>
      <c r="C108" s="1" t="s">
        <v>36</v>
      </c>
      <c r="D108" s="41"/>
      <c r="E108">
        <v>0</v>
      </c>
      <c r="F108" t="s">
        <v>34</v>
      </c>
      <c r="G108" s="38">
        <v>1</v>
      </c>
      <c r="H108" t="s">
        <v>28</v>
      </c>
      <c r="I108" s="42">
        <v>0</v>
      </c>
      <c r="K108" s="31" t="s">
        <v>29</v>
      </c>
      <c r="L108" s="40">
        <f t="shared" si="16"/>
        <v>0</v>
      </c>
      <c r="M108" s="30"/>
    </row>
    <row r="109" spans="1:13">
      <c r="A109" s="33"/>
      <c r="B109" s="34">
        <v>4</v>
      </c>
      <c r="C109" s="34" t="s">
        <v>39</v>
      </c>
      <c r="D109" s="41"/>
      <c r="G109" s="38" t="s">
        <v>38</v>
      </c>
      <c r="I109" s="42"/>
      <c r="J109" s="1" t="s">
        <v>10</v>
      </c>
      <c r="K109" s="31"/>
      <c r="L109" s="40"/>
      <c r="M109" s="37"/>
    </row>
    <row r="110" spans="1:13">
      <c r="A110" s="33"/>
      <c r="B110" s="34"/>
      <c r="C110" s="1" t="s">
        <v>40</v>
      </c>
      <c r="D110" s="41"/>
      <c r="E110">
        <v>0</v>
      </c>
      <c r="F110" t="s">
        <v>34</v>
      </c>
      <c r="G110" s="38">
        <v>1</v>
      </c>
      <c r="H110" t="str">
        <f>+H111</f>
        <v>x Rp.</v>
      </c>
      <c r="I110" s="42">
        <v>0</v>
      </c>
      <c r="K110" s="31" t="str">
        <f>+K108</f>
        <v>Rp.</v>
      </c>
      <c r="L110" s="40">
        <f t="shared" ref="L110:L112" si="19">+E110*G110*I110</f>
        <v>0</v>
      </c>
      <c r="M110" s="45"/>
    </row>
    <row r="111" spans="1:13">
      <c r="A111" s="33"/>
      <c r="B111" s="34"/>
      <c r="C111" s="1" t="s">
        <v>41</v>
      </c>
      <c r="D111" s="41"/>
      <c r="E111">
        <v>0</v>
      </c>
      <c r="F111" t="s">
        <v>34</v>
      </c>
      <c r="G111" s="38">
        <v>1</v>
      </c>
      <c r="H111" t="str">
        <f>+H108</f>
        <v>x Rp.</v>
      </c>
      <c r="I111" s="42">
        <v>0</v>
      </c>
      <c r="K111" s="31" t="str">
        <f t="shared" ref="K111:K116" si="20">+K110</f>
        <v>Rp.</v>
      </c>
      <c r="L111" s="40">
        <f t="shared" si="19"/>
        <v>0</v>
      </c>
      <c r="M111" s="39"/>
    </row>
    <row r="112" spans="1:13">
      <c r="A112" s="33"/>
      <c r="B112" s="34"/>
      <c r="C112" s="1" t="s">
        <v>42</v>
      </c>
      <c r="D112" s="41"/>
      <c r="E112">
        <v>0</v>
      </c>
      <c r="F112" t="s">
        <v>34</v>
      </c>
      <c r="G112" s="38">
        <v>1</v>
      </c>
      <c r="H112" t="str">
        <f t="shared" ref="H112" si="21">+H111</f>
        <v>x Rp.</v>
      </c>
      <c r="I112" s="42">
        <v>0</v>
      </c>
      <c r="K112" s="31" t="str">
        <f t="shared" si="20"/>
        <v>Rp.</v>
      </c>
      <c r="L112" s="40">
        <f t="shared" si="19"/>
        <v>0</v>
      </c>
      <c r="M112" s="37"/>
    </row>
    <row r="113" spans="1:13">
      <c r="A113" s="33"/>
      <c r="B113" s="34">
        <v>5</v>
      </c>
      <c r="C113" s="34" t="s">
        <v>43</v>
      </c>
      <c r="D113" s="41"/>
      <c r="G113" s="38" t="s">
        <v>38</v>
      </c>
      <c r="I113" s="42"/>
      <c r="J113" s="1" t="s">
        <v>10</v>
      </c>
      <c r="K113" s="31"/>
      <c r="L113" s="40"/>
      <c r="M113" s="37"/>
    </row>
    <row r="114" spans="1:13">
      <c r="A114" s="33"/>
      <c r="B114" s="34"/>
      <c r="C114" s="1" t="s">
        <v>44</v>
      </c>
      <c r="D114" s="41"/>
      <c r="E114">
        <v>0</v>
      </c>
      <c r="F114" t="str">
        <f>+F115</f>
        <v>hari x</v>
      </c>
      <c r="G114" s="38">
        <v>1</v>
      </c>
      <c r="H114" t="str">
        <f>+H115</f>
        <v>x Rp.</v>
      </c>
      <c r="I114" s="42">
        <v>0</v>
      </c>
      <c r="K114" s="31" t="str">
        <f>+K112</f>
        <v>Rp.</v>
      </c>
      <c r="L114" s="40">
        <f t="shared" ref="L114:L116" si="22">+E114*G114*I114</f>
        <v>0</v>
      </c>
      <c r="M114" s="45"/>
    </row>
    <row r="115" spans="1:13">
      <c r="A115" s="33"/>
      <c r="B115" s="34"/>
      <c r="C115" s="1" t="s">
        <v>45</v>
      </c>
      <c r="D115" s="41"/>
      <c r="E115">
        <v>0</v>
      </c>
      <c r="F115" t="str">
        <f>+F112</f>
        <v>hari x</v>
      </c>
      <c r="G115" s="38">
        <v>1</v>
      </c>
      <c r="H115" t="str">
        <f>+H112</f>
        <v>x Rp.</v>
      </c>
      <c r="I115" s="42">
        <v>0</v>
      </c>
      <c r="K115" s="31" t="str">
        <f t="shared" si="20"/>
        <v>Rp.</v>
      </c>
      <c r="L115" s="40">
        <f t="shared" si="22"/>
        <v>0</v>
      </c>
      <c r="M115" s="39"/>
    </row>
    <row r="116" spans="1:13">
      <c r="A116" s="33"/>
      <c r="B116" s="34">
        <v>6</v>
      </c>
      <c r="C116" s="34" t="s">
        <v>46</v>
      </c>
      <c r="D116" s="41"/>
      <c r="E116">
        <v>0</v>
      </c>
      <c r="F116" t="s">
        <v>47</v>
      </c>
      <c r="G116" s="38">
        <v>1</v>
      </c>
      <c r="H116" t="str">
        <f>+H114</f>
        <v>x Rp.</v>
      </c>
      <c r="I116" s="42">
        <v>0</v>
      </c>
      <c r="K116" s="31" t="str">
        <f t="shared" si="20"/>
        <v>Rp.</v>
      </c>
      <c r="L116" s="40">
        <f t="shared" si="22"/>
        <v>0</v>
      </c>
      <c r="M116" s="37"/>
    </row>
    <row r="117" spans="1:13">
      <c r="A117" s="33"/>
      <c r="B117" s="34"/>
      <c r="D117" s="41"/>
      <c r="G117" s="38"/>
      <c r="I117" s="42"/>
      <c r="K117" s="31"/>
      <c r="L117" s="40"/>
      <c r="M117" s="30"/>
    </row>
    <row r="118" spans="1:13">
      <c r="A118" s="33"/>
      <c r="C118" s="1" t="s">
        <v>10</v>
      </c>
      <c r="D118" t="s">
        <v>10</v>
      </c>
      <c r="K118" s="31"/>
      <c r="L118" s="40"/>
      <c r="M118" s="30"/>
    </row>
    <row r="119" spans="1:13">
      <c r="A119" s="33"/>
      <c r="B119" s="34" t="s">
        <v>48</v>
      </c>
      <c r="E119" t="s">
        <v>10</v>
      </c>
      <c r="K119" s="31" t="s">
        <v>29</v>
      </c>
      <c r="L119" s="46">
        <f>SUM(L98:L116)</f>
        <v>430000</v>
      </c>
      <c r="M119" s="30"/>
    </row>
    <row r="120" spans="1:13">
      <c r="A120" s="33"/>
      <c r="D120" t="s">
        <v>10</v>
      </c>
      <c r="E120" t="s">
        <v>10</v>
      </c>
      <c r="J120" t="s">
        <v>10</v>
      </c>
      <c r="K120" s="31" t="s">
        <v>10</v>
      </c>
      <c r="L120" s="40"/>
      <c r="M120" s="30"/>
    </row>
    <row r="121" spans="1:13">
      <c r="A121" s="33" t="s">
        <v>49</v>
      </c>
      <c r="B121" s="34" t="s">
        <v>50</v>
      </c>
      <c r="K121" s="31"/>
      <c r="L121" s="40"/>
      <c r="M121" s="30"/>
    </row>
    <row r="122" spans="1:13">
      <c r="A122" s="33"/>
      <c r="B122" s="34">
        <v>1</v>
      </c>
      <c r="C122" s="34" t="s">
        <v>51</v>
      </c>
      <c r="K122" s="31"/>
      <c r="L122" s="40"/>
      <c r="M122" s="30"/>
    </row>
    <row r="123" spans="1:13">
      <c r="A123" s="33"/>
      <c r="C123" s="1" t="s">
        <v>52</v>
      </c>
      <c r="K123" s="31" t="s">
        <v>29</v>
      </c>
      <c r="L123" s="40">
        <v>0</v>
      </c>
      <c r="M123" s="30"/>
    </row>
    <row r="124" spans="1:13">
      <c r="A124" s="33"/>
      <c r="C124" s="1" t="s">
        <v>53</v>
      </c>
      <c r="K124" s="31" t="s">
        <v>29</v>
      </c>
      <c r="L124" s="40">
        <v>0</v>
      </c>
      <c r="M124" s="30"/>
    </row>
    <row r="125" spans="1:13">
      <c r="A125" s="33"/>
      <c r="C125" s="1" t="s">
        <v>54</v>
      </c>
      <c r="K125" s="31" t="s">
        <v>29</v>
      </c>
      <c r="L125" s="40">
        <v>0</v>
      </c>
      <c r="M125" s="30"/>
    </row>
    <row r="126" spans="1:13">
      <c r="A126" s="33"/>
      <c r="K126" s="31" t="s">
        <v>29</v>
      </c>
      <c r="L126" s="40">
        <v>0</v>
      </c>
      <c r="M126" s="30"/>
    </row>
    <row r="127" spans="1:13">
      <c r="A127" s="33"/>
      <c r="B127" s="34">
        <v>2</v>
      </c>
      <c r="C127" s="34" t="s">
        <v>55</v>
      </c>
      <c r="K127" s="31"/>
      <c r="L127" s="40"/>
      <c r="M127" s="30"/>
    </row>
    <row r="128" spans="1:13">
      <c r="A128" s="33"/>
      <c r="C128" s="1" t="s">
        <v>56</v>
      </c>
      <c r="D128" t="s">
        <v>57</v>
      </c>
      <c r="E128" t="s">
        <v>58</v>
      </c>
      <c r="F128" t="s">
        <v>34</v>
      </c>
      <c r="H128" t="s">
        <v>59</v>
      </c>
      <c r="I128" t="s">
        <v>60</v>
      </c>
      <c r="K128" s="31" t="s">
        <v>29</v>
      </c>
      <c r="L128" s="40">
        <v>0</v>
      </c>
      <c r="M128" s="30"/>
    </row>
    <row r="129" spans="1:13">
      <c r="A129" s="33"/>
      <c r="C129" s="1" t="s">
        <v>61</v>
      </c>
      <c r="K129" s="31"/>
      <c r="L129" s="40"/>
      <c r="M129" s="30"/>
    </row>
    <row r="130" spans="1:13">
      <c r="A130" s="33"/>
      <c r="B130" s="34">
        <v>3</v>
      </c>
      <c r="C130" s="1" t="s">
        <v>62</v>
      </c>
      <c r="K130" s="31"/>
      <c r="L130" s="40"/>
      <c r="M130" s="30"/>
    </row>
    <row r="131" spans="1:13">
      <c r="A131" s="33"/>
      <c r="B131" s="34"/>
      <c r="C131" s="1" t="s">
        <v>40</v>
      </c>
      <c r="E131">
        <v>0</v>
      </c>
      <c r="F131" t="str">
        <f>+F114</f>
        <v>hari x</v>
      </c>
      <c r="G131" s="38">
        <v>1</v>
      </c>
      <c r="H131">
        <f>+H132</f>
        <v>0</v>
      </c>
      <c r="I131" s="42">
        <v>0</v>
      </c>
      <c r="K131" s="31" t="str">
        <f>+K128</f>
        <v>Rp.</v>
      </c>
      <c r="L131" s="40">
        <f t="shared" ref="L131:L133" si="23">+E131*G131*I131</f>
        <v>0</v>
      </c>
      <c r="M131" s="30"/>
    </row>
    <row r="132" spans="1:13">
      <c r="A132" s="33"/>
      <c r="B132" s="34"/>
      <c r="C132" s="1" t="s">
        <v>41</v>
      </c>
      <c r="E132">
        <v>0</v>
      </c>
      <c r="F132" t="str">
        <f>+F131</f>
        <v>hari x</v>
      </c>
      <c r="G132" s="38">
        <v>1</v>
      </c>
      <c r="H132">
        <f>+H129</f>
        <v>0</v>
      </c>
      <c r="I132" s="42">
        <v>0</v>
      </c>
      <c r="K132" s="31" t="str">
        <f>+K131</f>
        <v>Rp.</v>
      </c>
      <c r="L132" s="40">
        <f t="shared" si="23"/>
        <v>0</v>
      </c>
      <c r="M132" s="30"/>
    </row>
    <row r="133" spans="1:13">
      <c r="A133" s="33"/>
      <c r="B133" s="34"/>
      <c r="C133" s="1" t="s">
        <v>42</v>
      </c>
      <c r="E133">
        <v>0</v>
      </c>
      <c r="F133" t="str">
        <f t="shared" ref="F133" si="24">+F132</f>
        <v>hari x</v>
      </c>
      <c r="G133" s="38">
        <v>0.5</v>
      </c>
      <c r="H133">
        <f t="shared" ref="H133" si="25">+H132</f>
        <v>0</v>
      </c>
      <c r="I133" s="42">
        <v>0</v>
      </c>
      <c r="K133" s="31" t="str">
        <f t="shared" ref="K133" si="26">+K132</f>
        <v>Rp.</v>
      </c>
      <c r="L133" s="40">
        <f t="shared" si="23"/>
        <v>0</v>
      </c>
      <c r="M133" s="30"/>
    </row>
    <row r="134" spans="1:13">
      <c r="A134" s="33"/>
      <c r="B134">
        <v>4</v>
      </c>
      <c r="C134" s="1" t="s">
        <v>63</v>
      </c>
      <c r="G134" s="41"/>
      <c r="I134" s="1" t="s">
        <v>10</v>
      </c>
      <c r="K134" s="31"/>
      <c r="L134" s="40"/>
      <c r="M134" s="30"/>
    </row>
    <row r="135" spans="1:13">
      <c r="A135" s="33"/>
      <c r="K135" s="31"/>
      <c r="L135" s="40"/>
      <c r="M135" s="30"/>
    </row>
    <row r="136" spans="1:13">
      <c r="A136" s="33"/>
      <c r="B136" s="34" t="s">
        <v>64</v>
      </c>
      <c r="C136" s="34"/>
      <c r="K136" s="31" t="s">
        <v>29</v>
      </c>
      <c r="L136" s="46">
        <f>SUM(L123:L135)</f>
        <v>0</v>
      </c>
      <c r="M136" s="30"/>
    </row>
    <row r="137" spans="1:13">
      <c r="A137" s="33"/>
      <c r="K137" s="31"/>
      <c r="L137" s="40"/>
      <c r="M137" s="30"/>
    </row>
    <row r="138" ht="15.15" spans="1:13">
      <c r="A138" s="33" t="s">
        <v>65</v>
      </c>
      <c r="B138" s="34" t="s">
        <v>66</v>
      </c>
      <c r="C138" s="34"/>
      <c r="K138" s="31" t="s">
        <v>29</v>
      </c>
      <c r="L138" s="46">
        <f>L136+L119</f>
        <v>430000</v>
      </c>
      <c r="M138" s="47"/>
    </row>
    <row r="139" spans="1:13">
      <c r="A139" s="30"/>
      <c r="G139" t="s">
        <v>10</v>
      </c>
      <c r="K139" s="48"/>
      <c r="L139" s="49"/>
      <c r="M139" s="47"/>
    </row>
    <row r="140" spans="1:13">
      <c r="A140" s="50"/>
      <c r="B140" s="51"/>
      <c r="C140" s="52"/>
      <c r="D140" s="52"/>
      <c r="E140" s="52"/>
      <c r="F140" s="53"/>
      <c r="G140" s="53"/>
      <c r="H140" s="53"/>
      <c r="I140" s="53"/>
      <c r="J140" s="54"/>
      <c r="K140" s="55"/>
      <c r="L140" s="54"/>
      <c r="M140" s="56"/>
    </row>
    <row r="141" spans="1:13">
      <c r="B141" t="s">
        <v>10</v>
      </c>
      <c r="K141" s="57"/>
      <c r="L141" s="57"/>
      <c r="M141" s="57"/>
    </row>
    <row r="142" spans="1:13">
      <c r="A142" t="s">
        <v>67</v>
      </c>
      <c r="H142" t="s">
        <v>68</v>
      </c>
    </row>
    <row r="143" spans="1:13">
      <c r="C143" s="34" t="s">
        <v>29</v>
      </c>
      <c r="D143" s="34"/>
      <c r="E143" s="58">
        <f>+L138</f>
        <v>430000</v>
      </c>
      <c r="I143" s="34" t="s">
        <v>29</v>
      </c>
      <c r="L143" s="59">
        <f>+L138</f>
        <v>430000</v>
      </c>
    </row>
    <row r="144" spans="1:13">
      <c r="A144" s="60"/>
      <c r="C144" s="34"/>
      <c r="I144" s="34"/>
    </row>
    <row r="145" spans="1:13">
      <c r="G145" t="s">
        <v>10</v>
      </c>
    </row>
    <row r="146" spans="1:13">
      <c r="B146" s="61" t="s">
        <v>69</v>
      </c>
      <c r="C146" s="61"/>
      <c r="H146" s="62" t="s">
        <v>70</v>
      </c>
      <c r="I146" s="62"/>
      <c r="J146" s="62"/>
      <c r="K146" s="62"/>
      <c r="L146" s="62"/>
    </row>
    <row r="147" spans="1:13">
      <c r="H147" s="63"/>
      <c r="I147" s="63"/>
      <c r="J147" s="63"/>
      <c r="K147" s="63"/>
      <c r="L147" s="63"/>
    </row>
    <row r="148" spans="1:13">
      <c r="H148" s="63"/>
      <c r="I148" s="63"/>
      <c r="J148" s="63"/>
      <c r="K148" s="63"/>
      <c r="L148" s="63"/>
    </row>
    <row r="149" spans="1:13">
      <c r="H149" s="63"/>
      <c r="I149" s="63"/>
      <c r="J149" s="63"/>
      <c r="K149" s="63"/>
      <c r="L149" s="63"/>
    </row>
    <row r="151" spans="1:13">
      <c r="B151" s="61" t="s">
        <v>71</v>
      </c>
      <c r="C151" s="61"/>
      <c r="H151" s="62" t="str">
        <f>E90</f>
        <v>ANUGRAH</v>
      </c>
      <c r="I151" s="62"/>
      <c r="J151" s="62"/>
      <c r="K151" s="62"/>
      <c r="L151" s="62"/>
    </row>
    <row r="152" ht="16.2" spans="1:13">
      <c r="A152" s="2"/>
      <c r="B152" s="3"/>
      <c r="C152" s="4"/>
      <c r="D152" s="4"/>
      <c r="E152" s="4"/>
      <c r="F152" s="2"/>
      <c r="G152" s="2"/>
      <c r="H152" s="2"/>
      <c r="I152" s="3"/>
      <c r="J152" s="3"/>
      <c r="K152" s="3"/>
      <c r="L152" s="3"/>
      <c r="M152" s="3"/>
    </row>
    <row r="153" ht="16.2" spans="1:13">
      <c r="A153" s="2"/>
      <c r="B153" s="5"/>
      <c r="C153" s="4"/>
      <c r="D153" s="4"/>
      <c r="E153" s="4"/>
      <c r="F153" s="2"/>
      <c r="G153" s="2"/>
      <c r="H153" s="2"/>
      <c r="I153" s="3"/>
      <c r="J153" s="3"/>
      <c r="K153" s="3"/>
      <c r="L153" s="3"/>
      <c r="M153" s="3"/>
    </row>
    <row r="154" ht="16.2" spans="1:13">
      <c r="A154" s="2"/>
      <c r="B154" s="5"/>
      <c r="C154" s="6"/>
      <c r="D154" s="3"/>
      <c r="E154" s="2"/>
      <c r="F154" s="2"/>
      <c r="G154" s="2"/>
      <c r="H154" s="2"/>
      <c r="I154" s="3"/>
      <c r="J154" s="3"/>
      <c r="K154" s="3"/>
      <c r="L154" s="3"/>
      <c r="M154" s="3"/>
    </row>
    <row r="155" ht="15.6" spans="1:13">
      <c r="A155" s="7"/>
      <c r="B155" s="8"/>
      <c r="C155" s="7"/>
      <c r="D155" s="9"/>
      <c r="E155" s="9"/>
      <c r="F155" s="10"/>
      <c r="G155" s="10"/>
      <c r="H155" s="9"/>
      <c r="I155" s="10"/>
      <c r="J155" s="10"/>
      <c r="K155" s="11"/>
      <c r="L155" s="7"/>
      <c r="M155" s="3"/>
    </row>
    <row r="156" ht="15.6" spans="1:13">
      <c r="A156" s="12"/>
      <c r="B156" s="13"/>
      <c r="C156" s="7"/>
      <c r="D156" s="9"/>
      <c r="E156" s="9"/>
      <c r="F156" s="10"/>
      <c r="G156" s="10"/>
      <c r="H156" s="9"/>
      <c r="I156" s="10"/>
      <c r="J156" s="10"/>
      <c r="K156" s="7"/>
      <c r="L156" s="73" t="s">
        <v>0</v>
      </c>
      <c r="M156" s="3"/>
    </row>
    <row r="157" ht="16.2" spans="1:13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</row>
    <row r="158" ht="15.6" spans="1:13">
      <c r="A158" s="14" t="s">
        <v>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60" ht="15" spans="1:13">
      <c r="C160" s="1" t="s">
        <v>2</v>
      </c>
      <c r="D160" t="s">
        <v>3</v>
      </c>
      <c r="E160" s="15"/>
    </row>
    <row r="161" spans="1:17">
      <c r="C161" s="1" t="s">
        <v>4</v>
      </c>
      <c r="D161" t="s">
        <v>3</v>
      </c>
      <c r="E161" s="65">
        <v>46294</v>
      </c>
      <c r="F161" s="17" t="s">
        <v>5</v>
      </c>
      <c r="G161" s="66">
        <v>46297</v>
      </c>
      <c r="H161" s="66"/>
      <c r="I161" s="66"/>
    </row>
    <row r="162" ht="15" spans="1:17">
      <c r="C162" s="1" t="s">
        <v>6</v>
      </c>
      <c r="D162" t="s">
        <v>3</v>
      </c>
      <c r="E162" s="15" t="s">
        <v>84</v>
      </c>
    </row>
    <row r="163" ht="15" customHeight="1" spans="1:17">
      <c r="C163" s="19" t="s">
        <v>8</v>
      </c>
      <c r="D163" t="s">
        <v>3</v>
      </c>
      <c r="E163" s="20" t="s">
        <v>89</v>
      </c>
      <c r="F163" s="20"/>
      <c r="G163" s="20"/>
      <c r="H163" s="20"/>
      <c r="I163" s="20"/>
      <c r="J163" s="20"/>
      <c r="K163" s="20"/>
      <c r="L163" s="20"/>
      <c r="M163" s="20"/>
    </row>
    <row r="164" spans="1:17">
      <c r="C164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7">
      <c r="C165" s="1" t="s">
        <v>11</v>
      </c>
      <c r="D165" t="s">
        <v>3</v>
      </c>
      <c r="E165" s="21" t="s">
        <v>15</v>
      </c>
      <c r="F165" s="16"/>
      <c r="G165" s="17"/>
      <c r="H165" s="18"/>
      <c r="I165" s="18"/>
      <c r="N165" s="21" t="s">
        <v>13</v>
      </c>
      <c r="O165" s="21" t="s">
        <v>14</v>
      </c>
      <c r="P165" s="21" t="s">
        <v>12</v>
      </c>
      <c r="Q165" s="21" t="s">
        <v>15</v>
      </c>
    </row>
    <row r="166" ht="15.6" spans="1:17">
      <c r="C166" s="1" t="s">
        <v>16</v>
      </c>
      <c r="D166" t="s">
        <v>3</v>
      </c>
      <c r="E166" s="22" t="s">
        <v>86</v>
      </c>
      <c r="F166" s="22"/>
      <c r="G166" s="22"/>
      <c r="H166" s="22"/>
      <c r="I166" s="22"/>
    </row>
    <row r="167" ht="15.6" spans="1:17">
      <c r="C167" s="1" t="s">
        <v>18</v>
      </c>
      <c r="D167" t="s">
        <v>3</v>
      </c>
      <c r="E167" s="23" t="s">
        <v>19</v>
      </c>
      <c r="F167" s="24"/>
    </row>
    <row r="168" spans="1:17">
      <c r="E168" s="24"/>
    </row>
    <row r="169" spans="1:17">
      <c r="A169" s="25" t="s">
        <v>20</v>
      </c>
      <c r="B169" s="26" t="s">
        <v>21</v>
      </c>
      <c r="C169" s="27"/>
      <c r="D169" s="27"/>
      <c r="E169" s="27"/>
      <c r="F169" s="27"/>
      <c r="G169" s="27"/>
      <c r="H169" s="27"/>
      <c r="I169" s="27"/>
      <c r="J169" s="28"/>
      <c r="K169" s="26" t="s">
        <v>22</v>
      </c>
      <c r="L169" s="28"/>
      <c r="M169" s="29" t="s">
        <v>23</v>
      </c>
    </row>
    <row r="170" spans="1:17">
      <c r="A170" s="30"/>
      <c r="K170" s="31"/>
      <c r="L170" s="32"/>
      <c r="M170" s="30"/>
    </row>
    <row r="171" spans="1:17">
      <c r="A171" s="33" t="s">
        <v>24</v>
      </c>
      <c r="B171" t="s">
        <v>25</v>
      </c>
      <c r="K171" s="31"/>
      <c r="L171" s="32"/>
      <c r="M171" s="30"/>
    </row>
    <row r="172" spans="1:17">
      <c r="A172" s="33"/>
      <c r="K172" s="31"/>
      <c r="L172" s="32"/>
      <c r="M172" s="30"/>
    </row>
    <row r="173" spans="1:17">
      <c r="A173" s="33"/>
      <c r="B173" s="34">
        <v>1</v>
      </c>
      <c r="C173" s="34" t="s">
        <v>26</v>
      </c>
      <c r="K173" s="31"/>
      <c r="L173" s="32"/>
      <c r="M173" s="30"/>
    </row>
    <row r="174" spans="1:17">
      <c r="A174" s="33"/>
      <c r="B174" s="34"/>
      <c r="C174" s="1" t="s">
        <v>27</v>
      </c>
      <c r="G174">
        <v>0</v>
      </c>
      <c r="H174" s="1" t="s">
        <v>28</v>
      </c>
      <c r="I174" s="35">
        <v>0</v>
      </c>
      <c r="K174" s="31" t="s">
        <v>29</v>
      </c>
      <c r="L174" s="36">
        <f t="shared" ref="L174:L176" si="27">+I174*G174</f>
        <v>0</v>
      </c>
      <c r="M174" s="37"/>
    </row>
    <row r="175" spans="1:17">
      <c r="A175" s="33"/>
      <c r="B175" s="34"/>
      <c r="C175" s="1" t="s">
        <v>30</v>
      </c>
      <c r="G175">
        <v>0</v>
      </c>
      <c r="H175" t="s">
        <v>28</v>
      </c>
      <c r="I175" s="35">
        <v>0</v>
      </c>
      <c r="J175" s="38"/>
      <c r="K175" s="31" t="s">
        <v>29</v>
      </c>
      <c r="L175" s="36">
        <f t="shared" si="27"/>
        <v>0</v>
      </c>
      <c r="M175" s="39"/>
    </row>
    <row r="176" spans="1:17">
      <c r="A176" s="33"/>
      <c r="B176" s="34"/>
      <c r="C176" s="1" t="s">
        <v>31</v>
      </c>
      <c r="G176">
        <v>0</v>
      </c>
      <c r="H176" t="s">
        <v>28</v>
      </c>
      <c r="I176" s="35">
        <v>0</v>
      </c>
      <c r="K176" s="31" t="s">
        <v>29</v>
      </c>
      <c r="L176" s="36">
        <f t="shared" si="27"/>
        <v>0</v>
      </c>
      <c r="M176" s="37"/>
    </row>
    <row r="177" spans="1:13">
      <c r="A177" s="33"/>
      <c r="B177" s="34">
        <v>2</v>
      </c>
      <c r="C177" s="34" t="s">
        <v>32</v>
      </c>
      <c r="D177" s="34"/>
      <c r="K177" s="31"/>
      <c r="L177" s="40"/>
      <c r="M177" s="30"/>
    </row>
    <row r="178" spans="1:13">
      <c r="A178" s="33"/>
      <c r="B178" s="34"/>
      <c r="C178" s="1" t="s">
        <v>33</v>
      </c>
      <c r="D178" s="41"/>
      <c r="E178">
        <v>4</v>
      </c>
      <c r="F178" t="s">
        <v>34</v>
      </c>
      <c r="G178" s="38">
        <v>1</v>
      </c>
      <c r="H178" t="s">
        <v>28</v>
      </c>
      <c r="I178" s="42">
        <v>190000</v>
      </c>
      <c r="K178" s="31" t="s">
        <v>29</v>
      </c>
      <c r="L178" s="43">
        <f t="shared" ref="L178:L180" si="28">I178*G178*E178</f>
        <v>760000</v>
      </c>
      <c r="M178" s="37"/>
    </row>
    <row r="179" spans="1:13">
      <c r="A179" s="33"/>
      <c r="B179" s="34"/>
      <c r="C179" s="1" t="s">
        <v>35</v>
      </c>
      <c r="D179" s="41"/>
      <c r="E179">
        <v>3</v>
      </c>
      <c r="F179" t="s">
        <v>34</v>
      </c>
      <c r="G179" s="38">
        <v>1</v>
      </c>
      <c r="H179" t="str">
        <f t="shared" ref="H179:H180" si="29">+H178</f>
        <v>x Rp.</v>
      </c>
      <c r="I179" s="42">
        <v>50000</v>
      </c>
      <c r="K179" s="31" t="str">
        <f t="shared" ref="K179:K180" si="30">+K178</f>
        <v>Rp.</v>
      </c>
      <c r="L179" s="43">
        <f t="shared" si="28"/>
        <v>150000</v>
      </c>
      <c r="M179" s="37"/>
    </row>
    <row r="180" spans="1:13">
      <c r="A180" s="33"/>
      <c r="B180" s="34"/>
      <c r="C180" s="1" t="s">
        <v>36</v>
      </c>
      <c r="D180" s="41"/>
      <c r="E180">
        <v>0</v>
      </c>
      <c r="F180" t="s">
        <v>34</v>
      </c>
      <c r="G180" s="38">
        <v>1</v>
      </c>
      <c r="H180" t="str">
        <f t="shared" si="29"/>
        <v>x Rp.</v>
      </c>
      <c r="I180" s="42">
        <v>0</v>
      </c>
      <c r="K180" s="31" t="str">
        <f t="shared" si="30"/>
        <v>Rp.</v>
      </c>
      <c r="L180" s="43">
        <f t="shared" si="28"/>
        <v>0</v>
      </c>
      <c r="M180" s="44"/>
    </row>
    <row r="181" spans="1:13">
      <c r="A181" s="33"/>
      <c r="B181" s="34">
        <v>3</v>
      </c>
      <c r="C181" s="34" t="s">
        <v>37</v>
      </c>
      <c r="D181" s="41"/>
      <c r="G181" s="38" t="s">
        <v>38</v>
      </c>
      <c r="I181" s="42"/>
      <c r="J181" s="1" t="s">
        <v>10</v>
      </c>
      <c r="K181" s="31"/>
      <c r="L181" s="40"/>
      <c r="M181" s="37"/>
    </row>
    <row r="182" spans="1:13">
      <c r="A182" s="33"/>
      <c r="B182" s="34"/>
      <c r="C182" s="1" t="s">
        <v>33</v>
      </c>
      <c r="D182" s="41"/>
      <c r="E182">
        <v>0</v>
      </c>
      <c r="F182" t="s">
        <v>34</v>
      </c>
      <c r="G182" s="38">
        <v>1</v>
      </c>
      <c r="H182" t="str">
        <f>+H180</f>
        <v>x Rp.</v>
      </c>
      <c r="I182" s="42">
        <v>0</v>
      </c>
      <c r="K182" s="31" t="s">
        <v>29</v>
      </c>
      <c r="L182" s="40">
        <f t="shared" ref="L182:L184" si="31">+E182*G182*I182</f>
        <v>0</v>
      </c>
      <c r="M182" s="39"/>
    </row>
    <row r="183" spans="1:13">
      <c r="A183" s="33"/>
      <c r="B183" s="34"/>
      <c r="C183" s="1" t="s">
        <v>35</v>
      </c>
      <c r="D183" s="41"/>
      <c r="E183">
        <v>0</v>
      </c>
      <c r="F183" t="s">
        <v>34</v>
      </c>
      <c r="G183" s="38">
        <v>1</v>
      </c>
      <c r="H183" t="str">
        <f t="shared" ref="H183" si="32">+H182</f>
        <v>x Rp.</v>
      </c>
      <c r="I183" s="42">
        <v>0</v>
      </c>
      <c r="K183" s="31" t="str">
        <f t="shared" ref="K183" si="33">+K182</f>
        <v>Rp.</v>
      </c>
      <c r="L183" s="40">
        <f t="shared" si="31"/>
        <v>0</v>
      </c>
      <c r="M183" s="37"/>
    </row>
    <row r="184" spans="1:13">
      <c r="A184" s="33"/>
      <c r="B184" s="34"/>
      <c r="C184" s="1" t="s">
        <v>36</v>
      </c>
      <c r="D184" s="41"/>
      <c r="E184">
        <v>0</v>
      </c>
      <c r="F184" t="s">
        <v>34</v>
      </c>
      <c r="G184" s="38">
        <v>1</v>
      </c>
      <c r="H184" t="s">
        <v>28</v>
      </c>
      <c r="I184" s="42">
        <v>0</v>
      </c>
      <c r="K184" s="31" t="s">
        <v>29</v>
      </c>
      <c r="L184" s="40">
        <f t="shared" si="31"/>
        <v>0</v>
      </c>
      <c r="M184" s="30"/>
    </row>
    <row r="185" spans="1:13">
      <c r="A185" s="33"/>
      <c r="B185" s="34">
        <v>4</v>
      </c>
      <c r="C185" s="34" t="s">
        <v>39</v>
      </c>
      <c r="D185" s="41"/>
      <c r="G185" s="38" t="s">
        <v>38</v>
      </c>
      <c r="I185" s="42"/>
      <c r="J185" s="1" t="s">
        <v>10</v>
      </c>
      <c r="K185" s="31"/>
      <c r="L185" s="40"/>
      <c r="M185" s="37"/>
    </row>
    <row r="186" spans="1:13">
      <c r="A186" s="33"/>
      <c r="B186" s="34"/>
      <c r="C186" s="1" t="s">
        <v>40</v>
      </c>
      <c r="D186" s="41"/>
      <c r="E186">
        <v>0</v>
      </c>
      <c r="F186" t="s">
        <v>34</v>
      </c>
      <c r="G186" s="38">
        <v>1</v>
      </c>
      <c r="H186" t="str">
        <f>+H187</f>
        <v>x Rp.</v>
      </c>
      <c r="I186" s="42">
        <v>0</v>
      </c>
      <c r="K186" s="31" t="str">
        <f>+K184</f>
        <v>Rp.</v>
      </c>
      <c r="L186" s="40">
        <f t="shared" ref="L186:L188" si="34">+E186*G186*I186</f>
        <v>0</v>
      </c>
      <c r="M186" s="45"/>
    </row>
    <row r="187" spans="1:13">
      <c r="A187" s="33"/>
      <c r="B187" s="34"/>
      <c r="C187" s="1" t="s">
        <v>41</v>
      </c>
      <c r="D187" s="41"/>
      <c r="E187">
        <v>0</v>
      </c>
      <c r="F187" t="s">
        <v>34</v>
      </c>
      <c r="G187" s="38">
        <v>1</v>
      </c>
      <c r="H187" t="str">
        <f>+H184</f>
        <v>x Rp.</v>
      </c>
      <c r="I187" s="42">
        <v>0</v>
      </c>
      <c r="K187" s="31" t="str">
        <f t="shared" ref="K187:K192" si="35">+K186</f>
        <v>Rp.</v>
      </c>
      <c r="L187" s="40">
        <f t="shared" si="34"/>
        <v>0</v>
      </c>
      <c r="M187" s="39"/>
    </row>
    <row r="188" spans="1:13">
      <c r="A188" s="33"/>
      <c r="B188" s="34"/>
      <c r="C188" s="1" t="s">
        <v>42</v>
      </c>
      <c r="D188" s="41"/>
      <c r="E188">
        <v>0</v>
      </c>
      <c r="F188" t="s">
        <v>34</v>
      </c>
      <c r="G188" s="38">
        <v>1</v>
      </c>
      <c r="H188" t="str">
        <f t="shared" ref="H188" si="36">+H187</f>
        <v>x Rp.</v>
      </c>
      <c r="I188" s="42">
        <v>0</v>
      </c>
      <c r="K188" s="31" t="str">
        <f t="shared" si="35"/>
        <v>Rp.</v>
      </c>
      <c r="L188" s="40">
        <f t="shared" si="34"/>
        <v>0</v>
      </c>
      <c r="M188" s="37"/>
    </row>
    <row r="189" spans="1:13">
      <c r="A189" s="33"/>
      <c r="B189" s="34">
        <v>5</v>
      </c>
      <c r="C189" s="34" t="s">
        <v>43</v>
      </c>
      <c r="D189" s="41"/>
      <c r="G189" s="38" t="s">
        <v>38</v>
      </c>
      <c r="I189" s="42"/>
      <c r="J189" s="1" t="s">
        <v>10</v>
      </c>
      <c r="K189" s="31"/>
      <c r="L189" s="40"/>
      <c r="M189" s="37"/>
    </row>
    <row r="190" spans="1:13">
      <c r="A190" s="33"/>
      <c r="B190" s="34"/>
      <c r="C190" s="1" t="s">
        <v>44</v>
      </c>
      <c r="D190" s="41"/>
      <c r="E190">
        <v>0</v>
      </c>
      <c r="F190" t="str">
        <f>+F191</f>
        <v>hari x</v>
      </c>
      <c r="G190" s="38">
        <v>1</v>
      </c>
      <c r="H190" t="str">
        <f>+H191</f>
        <v>x Rp.</v>
      </c>
      <c r="I190" s="42">
        <v>0</v>
      </c>
      <c r="K190" s="31" t="str">
        <f>+K188</f>
        <v>Rp.</v>
      </c>
      <c r="L190" s="40">
        <f t="shared" ref="L190:L192" si="37">+E190*G190*I190</f>
        <v>0</v>
      </c>
      <c r="M190" s="45"/>
    </row>
    <row r="191" spans="1:13">
      <c r="A191" s="33"/>
      <c r="B191" s="34"/>
      <c r="C191" s="1" t="s">
        <v>45</v>
      </c>
      <c r="D191" s="41"/>
      <c r="E191">
        <v>0</v>
      </c>
      <c r="F191" t="str">
        <f>+F188</f>
        <v>hari x</v>
      </c>
      <c r="G191" s="38">
        <v>1</v>
      </c>
      <c r="H191" t="str">
        <f>+H188</f>
        <v>x Rp.</v>
      </c>
      <c r="I191" s="42">
        <v>0</v>
      </c>
      <c r="K191" s="31" t="str">
        <f t="shared" si="35"/>
        <v>Rp.</v>
      </c>
      <c r="L191" s="40">
        <f t="shared" si="37"/>
        <v>0</v>
      </c>
      <c r="M191" s="39"/>
    </row>
    <row r="192" spans="1:13">
      <c r="A192" s="33"/>
      <c r="B192" s="34">
        <v>6</v>
      </c>
      <c r="C192" s="34" t="s">
        <v>46</v>
      </c>
      <c r="D192" s="41"/>
      <c r="E192">
        <v>0</v>
      </c>
      <c r="F192" t="s">
        <v>47</v>
      </c>
      <c r="G192" s="38">
        <v>1</v>
      </c>
      <c r="H192" t="str">
        <f>+H190</f>
        <v>x Rp.</v>
      </c>
      <c r="I192" s="42">
        <v>0</v>
      </c>
      <c r="K192" s="31" t="str">
        <f t="shared" si="35"/>
        <v>Rp.</v>
      </c>
      <c r="L192" s="40">
        <f t="shared" si="37"/>
        <v>0</v>
      </c>
      <c r="M192" s="37"/>
    </row>
    <row r="193" spans="1:13">
      <c r="A193" s="33"/>
      <c r="B193" s="34"/>
      <c r="D193" s="41"/>
      <c r="G193" s="38"/>
      <c r="I193" s="42"/>
      <c r="K193" s="31"/>
      <c r="L193" s="40"/>
      <c r="M193" s="30"/>
    </row>
    <row r="194" spans="1:13">
      <c r="A194" s="33"/>
      <c r="C194" s="1" t="s">
        <v>10</v>
      </c>
      <c r="D194" t="s">
        <v>10</v>
      </c>
      <c r="K194" s="31"/>
      <c r="L194" s="40"/>
      <c r="M194" s="30"/>
    </row>
    <row r="195" spans="1:13">
      <c r="A195" s="33"/>
      <c r="B195" s="34" t="s">
        <v>48</v>
      </c>
      <c r="E195" t="s">
        <v>10</v>
      </c>
      <c r="K195" s="31" t="s">
        <v>29</v>
      </c>
      <c r="L195" s="46">
        <f>SUM(L174:L192)</f>
        <v>910000</v>
      </c>
      <c r="M195" s="30"/>
    </row>
    <row r="196" spans="1:13">
      <c r="A196" s="33"/>
      <c r="D196" t="s">
        <v>10</v>
      </c>
      <c r="E196" t="s">
        <v>10</v>
      </c>
      <c r="J196" t="s">
        <v>10</v>
      </c>
      <c r="K196" s="31" t="s">
        <v>10</v>
      </c>
      <c r="L196" s="40"/>
      <c r="M196" s="30"/>
    </row>
    <row r="197" spans="1:13">
      <c r="A197" s="33" t="s">
        <v>49</v>
      </c>
      <c r="B197" s="34" t="s">
        <v>50</v>
      </c>
      <c r="K197" s="31"/>
      <c r="L197" s="40"/>
      <c r="M197" s="30"/>
    </row>
    <row r="198" spans="1:13">
      <c r="A198" s="33"/>
      <c r="B198" s="34">
        <v>1</v>
      </c>
      <c r="C198" s="34" t="s">
        <v>51</v>
      </c>
      <c r="K198" s="31"/>
      <c r="L198" s="40"/>
      <c r="M198" s="30"/>
    </row>
    <row r="199" spans="1:13">
      <c r="A199" s="33"/>
      <c r="C199" s="1" t="s">
        <v>52</v>
      </c>
      <c r="K199" s="31" t="s">
        <v>29</v>
      </c>
      <c r="L199" s="40">
        <v>0</v>
      </c>
      <c r="M199" s="30"/>
    </row>
    <row r="200" spans="1:13">
      <c r="A200" s="33"/>
      <c r="C200" s="1" t="s">
        <v>53</v>
      </c>
      <c r="K200" s="31" t="s">
        <v>29</v>
      </c>
      <c r="L200" s="40">
        <v>0</v>
      </c>
      <c r="M200" s="30"/>
    </row>
    <row r="201" spans="1:13">
      <c r="A201" s="33"/>
      <c r="C201" s="1" t="s">
        <v>54</v>
      </c>
      <c r="K201" s="31" t="s">
        <v>29</v>
      </c>
      <c r="L201" s="40">
        <v>0</v>
      </c>
      <c r="M201" s="30"/>
    </row>
    <row r="202" spans="1:13">
      <c r="A202" s="33"/>
      <c r="K202" s="31" t="s">
        <v>29</v>
      </c>
      <c r="L202" s="40">
        <v>0</v>
      </c>
      <c r="M202" s="30"/>
    </row>
    <row r="203" spans="1:13">
      <c r="A203" s="33"/>
      <c r="B203" s="34">
        <v>2</v>
      </c>
      <c r="C203" s="34" t="s">
        <v>55</v>
      </c>
      <c r="K203" s="31"/>
      <c r="L203" s="40"/>
      <c r="M203" s="30"/>
    </row>
    <row r="204" spans="1:13">
      <c r="A204" s="33"/>
      <c r="C204" s="1" t="s">
        <v>56</v>
      </c>
      <c r="D204" t="s">
        <v>57</v>
      </c>
      <c r="E204" t="s">
        <v>58</v>
      </c>
      <c r="F204" t="s">
        <v>34</v>
      </c>
      <c r="H204" t="s">
        <v>59</v>
      </c>
      <c r="I204" t="s">
        <v>60</v>
      </c>
      <c r="K204" s="31" t="s">
        <v>29</v>
      </c>
      <c r="L204" s="40">
        <v>0</v>
      </c>
      <c r="M204" s="30"/>
    </row>
    <row r="205" spans="1:13">
      <c r="A205" s="33"/>
      <c r="C205" s="1" t="s">
        <v>61</v>
      </c>
      <c r="K205" s="31"/>
      <c r="L205" s="40"/>
      <c r="M205" s="30"/>
    </row>
    <row r="206" spans="1:13">
      <c r="A206" s="33"/>
      <c r="B206" s="34">
        <v>3</v>
      </c>
      <c r="C206" s="1" t="s">
        <v>62</v>
      </c>
      <c r="K206" s="31"/>
      <c r="L206" s="40"/>
      <c r="M206" s="30"/>
    </row>
    <row r="207" spans="1:13">
      <c r="A207" s="33"/>
      <c r="B207" s="34"/>
      <c r="C207" s="1" t="s">
        <v>40</v>
      </c>
      <c r="E207">
        <v>0</v>
      </c>
      <c r="F207" t="str">
        <f>+F190</f>
        <v>hari x</v>
      </c>
      <c r="G207" s="38">
        <v>1</v>
      </c>
      <c r="H207">
        <f>+H208</f>
        <v>0</v>
      </c>
      <c r="I207" s="42">
        <v>0</v>
      </c>
      <c r="K207" s="31" t="str">
        <f>+K204</f>
        <v>Rp.</v>
      </c>
      <c r="L207" s="40">
        <f t="shared" ref="L207:L209" si="38">+E207*G207*I207</f>
        <v>0</v>
      </c>
      <c r="M207" s="30"/>
    </row>
    <row r="208" spans="1:13">
      <c r="A208" s="33"/>
      <c r="B208" s="34"/>
      <c r="C208" s="1" t="s">
        <v>41</v>
      </c>
      <c r="E208">
        <v>0</v>
      </c>
      <c r="F208" t="str">
        <f>+F207</f>
        <v>hari x</v>
      </c>
      <c r="G208" s="38">
        <v>1</v>
      </c>
      <c r="H208">
        <f>+H205</f>
        <v>0</v>
      </c>
      <c r="I208" s="42">
        <v>0</v>
      </c>
      <c r="K208" s="31" t="str">
        <f>+K207</f>
        <v>Rp.</v>
      </c>
      <c r="L208" s="40">
        <f t="shared" si="38"/>
        <v>0</v>
      </c>
      <c r="M208" s="30"/>
    </row>
    <row r="209" spans="1:13">
      <c r="A209" s="33"/>
      <c r="B209" s="34"/>
      <c r="C209" s="1" t="s">
        <v>42</v>
      </c>
      <c r="E209">
        <v>0</v>
      </c>
      <c r="F209" t="str">
        <f t="shared" ref="F209" si="39">+F208</f>
        <v>hari x</v>
      </c>
      <c r="G209" s="38">
        <v>0.5</v>
      </c>
      <c r="H209">
        <f t="shared" ref="H209" si="40">+H208</f>
        <v>0</v>
      </c>
      <c r="I209" s="42">
        <v>0</v>
      </c>
      <c r="K209" s="31" t="str">
        <f t="shared" ref="K209" si="41">+K208</f>
        <v>Rp.</v>
      </c>
      <c r="L209" s="40">
        <f t="shared" si="38"/>
        <v>0</v>
      </c>
      <c r="M209" s="30"/>
    </row>
    <row r="210" spans="1:13">
      <c r="A210" s="33"/>
      <c r="B210">
        <v>4</v>
      </c>
      <c r="C210" s="1" t="s">
        <v>63</v>
      </c>
      <c r="G210" s="41"/>
      <c r="I210" s="1" t="s">
        <v>10</v>
      </c>
      <c r="K210" s="31"/>
      <c r="L210" s="40"/>
      <c r="M210" s="30"/>
    </row>
    <row r="211" spans="1:13">
      <c r="A211" s="33"/>
      <c r="K211" s="31"/>
      <c r="L211" s="40"/>
      <c r="M211" s="30"/>
    </row>
    <row r="212" spans="1:13">
      <c r="A212" s="33"/>
      <c r="B212" s="34" t="s">
        <v>64</v>
      </c>
      <c r="C212" s="34"/>
      <c r="K212" s="31" t="s">
        <v>29</v>
      </c>
      <c r="L212" s="46">
        <f>SUM(L199:L211)</f>
        <v>0</v>
      </c>
      <c r="M212" s="30"/>
    </row>
    <row r="213" spans="1:13">
      <c r="A213" s="33"/>
      <c r="K213" s="31"/>
      <c r="L213" s="40"/>
      <c r="M213" s="30"/>
    </row>
    <row r="214" ht="15.15" spans="1:13">
      <c r="A214" s="33" t="s">
        <v>65</v>
      </c>
      <c r="B214" s="34" t="s">
        <v>66</v>
      </c>
      <c r="C214" s="34"/>
      <c r="K214" s="31" t="s">
        <v>29</v>
      </c>
      <c r="L214" s="46">
        <f>L212+L195</f>
        <v>910000</v>
      </c>
      <c r="M214" s="47"/>
    </row>
    <row r="215" spans="1:13">
      <c r="A215" s="30"/>
      <c r="G215" t="s">
        <v>10</v>
      </c>
      <c r="K215" s="48"/>
      <c r="L215" s="49"/>
      <c r="M215" s="47"/>
    </row>
    <row r="216" spans="1:13">
      <c r="A216" s="50"/>
      <c r="B216" s="51"/>
      <c r="C216" s="52"/>
      <c r="D216" s="52"/>
      <c r="E216" s="52"/>
      <c r="F216" s="53"/>
      <c r="G216" s="53"/>
      <c r="H216" s="53"/>
      <c r="I216" s="53"/>
      <c r="J216" s="54"/>
      <c r="K216" s="55"/>
      <c r="L216" s="54"/>
      <c r="M216" s="56"/>
    </row>
    <row r="217" spans="1:13">
      <c r="B217" t="s">
        <v>10</v>
      </c>
      <c r="K217" s="57"/>
      <c r="L217" s="57"/>
      <c r="M217" s="57"/>
    </row>
    <row r="218" spans="1:13">
      <c r="A218" t="s">
        <v>67</v>
      </c>
      <c r="H218" t="s">
        <v>68</v>
      </c>
    </row>
    <row r="219" spans="1:13">
      <c r="B219">
        <v>1</v>
      </c>
      <c r="C219" s="34" t="s">
        <v>29</v>
      </c>
      <c r="D219" s="34"/>
      <c r="E219" s="58">
        <f>+L214</f>
        <v>910000</v>
      </c>
      <c r="H219">
        <v>1</v>
      </c>
      <c r="I219" s="34" t="s">
        <v>29</v>
      </c>
      <c r="L219" s="59">
        <f>+L214</f>
        <v>910000</v>
      </c>
    </row>
    <row r="220" spans="1:13">
      <c r="A220" s="60"/>
      <c r="C220" s="34"/>
      <c r="I220" s="34"/>
    </row>
    <row r="221" spans="1:13">
      <c r="G221" t="s">
        <v>10</v>
      </c>
    </row>
    <row r="222" spans="1:13">
      <c r="B222" s="61" t="s">
        <v>69</v>
      </c>
      <c r="C222" s="61"/>
      <c r="H222" s="62" t="s">
        <v>70</v>
      </c>
      <c r="I222" s="62"/>
      <c r="J222" s="62"/>
      <c r="K222" s="62"/>
      <c r="L222" s="62"/>
    </row>
    <row r="223" spans="1:13">
      <c r="H223" s="63"/>
      <c r="I223" s="63"/>
      <c r="J223" s="63"/>
      <c r="K223" s="63"/>
      <c r="L223" s="63"/>
    </row>
    <row r="224" spans="1:13">
      <c r="H224" s="63"/>
      <c r="I224" s="63"/>
      <c r="J224" s="63"/>
      <c r="K224" s="63"/>
      <c r="L224" s="63"/>
    </row>
    <row r="225" spans="1:13">
      <c r="H225" s="63"/>
      <c r="I225" s="63"/>
      <c r="J225" s="63"/>
      <c r="K225" s="63"/>
      <c r="L225" s="63"/>
    </row>
    <row r="227" ht="16.2" spans="1:13">
      <c r="A227" s="2"/>
      <c r="B227" s="3"/>
      <c r="C227" s="4"/>
      <c r="D227" s="4"/>
      <c r="E227" s="4"/>
      <c r="F227" s="2"/>
      <c r="G227" s="2"/>
      <c r="H227" s="2"/>
      <c r="I227" s="3"/>
      <c r="J227" s="3"/>
      <c r="K227" s="3"/>
      <c r="L227" s="3"/>
      <c r="M227" s="3"/>
    </row>
    <row r="228" ht="16.2" spans="1:13">
      <c r="A228" s="2"/>
      <c r="B228" s="5"/>
      <c r="C228" s="4"/>
      <c r="D228" s="4"/>
      <c r="E228" s="4"/>
      <c r="F228" s="2"/>
      <c r="G228" s="2"/>
      <c r="H228" s="2"/>
      <c r="I228" s="3"/>
      <c r="J228" s="3"/>
      <c r="K228" s="3"/>
      <c r="L228" s="3"/>
      <c r="M228" s="3"/>
    </row>
    <row r="229" ht="16.2" spans="1:13">
      <c r="A229" s="2"/>
      <c r="B229" s="5"/>
      <c r="C229" s="6"/>
      <c r="D229" s="3"/>
      <c r="E229" s="2"/>
      <c r="F229" s="2"/>
      <c r="G229" s="2"/>
      <c r="H229" s="2"/>
      <c r="I229" s="3"/>
      <c r="J229" s="3"/>
      <c r="K229" s="3"/>
      <c r="L229" s="3"/>
      <c r="M229" s="3"/>
    </row>
    <row r="230" ht="15.6" spans="1:13">
      <c r="A230" s="7"/>
      <c r="B230" s="8"/>
      <c r="C230" s="7"/>
      <c r="D230" s="9"/>
      <c r="E230" s="9"/>
      <c r="F230" s="10"/>
      <c r="G230" s="10"/>
      <c r="H230" s="9"/>
      <c r="I230" s="10"/>
      <c r="J230" s="10"/>
      <c r="K230" s="11"/>
      <c r="L230" s="7"/>
      <c r="M230" s="3"/>
    </row>
    <row r="231" ht="15.6" spans="1:13">
      <c r="A231" s="12"/>
      <c r="B231" s="13"/>
      <c r="C231" s="7"/>
      <c r="D231" s="9"/>
      <c r="E231" s="9"/>
      <c r="F231" s="10"/>
      <c r="G231" s="10"/>
      <c r="H231" s="9"/>
      <c r="I231" s="10"/>
      <c r="J231" s="10"/>
      <c r="K231" s="7"/>
      <c r="L231" s="73" t="s">
        <v>0</v>
      </c>
      <c r="M231" s="3"/>
    </row>
    <row r="232" ht="16.2" spans="1:13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3"/>
      <c r="M232" s="3"/>
    </row>
    <row r="233" ht="15.6" spans="1:13">
      <c r="A233" s="14" t="s">
        <v>1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5" ht="15" spans="1:13">
      <c r="C235" s="1" t="s">
        <v>2</v>
      </c>
      <c r="D235" t="s">
        <v>3</v>
      </c>
      <c r="E235" s="15"/>
    </row>
    <row r="236" spans="1:13">
      <c r="C236" s="1" t="s">
        <v>4</v>
      </c>
      <c r="D236" t="s">
        <v>3</v>
      </c>
      <c r="E236" s="65">
        <v>46253</v>
      </c>
      <c r="F236" s="17" t="s">
        <v>5</v>
      </c>
      <c r="G236" s="66">
        <v>46253</v>
      </c>
      <c r="H236" s="66"/>
      <c r="I236" s="66"/>
    </row>
    <row r="237" ht="15" spans="1:13">
      <c r="C237" s="1" t="s">
        <v>6</v>
      </c>
      <c r="D237" t="s">
        <v>3</v>
      </c>
      <c r="E237" s="15" t="s">
        <v>90</v>
      </c>
    </row>
    <row r="238" spans="1:13">
      <c r="C238" s="19" t="s">
        <v>8</v>
      </c>
      <c r="D238" t="s">
        <v>3</v>
      </c>
      <c r="E238" s="20" t="s">
        <v>91</v>
      </c>
      <c r="F238" s="20"/>
      <c r="G238" s="20"/>
      <c r="H238" s="20"/>
      <c r="I238" s="20"/>
      <c r="J238" s="20"/>
      <c r="K238" s="20"/>
      <c r="L238" s="20"/>
      <c r="M238" s="20"/>
    </row>
    <row r="239" spans="1:13">
      <c r="C239"/>
      <c r="E239" s="20"/>
      <c r="F239" s="20"/>
      <c r="G239" s="20"/>
      <c r="H239" s="20"/>
      <c r="I239" s="20"/>
      <c r="J239" s="20"/>
      <c r="K239" s="20"/>
      <c r="L239" s="20"/>
      <c r="M239" s="20"/>
    </row>
    <row r="240" spans="1:13">
      <c r="C240" s="1" t="s">
        <v>11</v>
      </c>
      <c r="D240" t="s">
        <v>3</v>
      </c>
      <c r="E240" s="21" t="s">
        <v>13</v>
      </c>
      <c r="F240" s="16"/>
      <c r="G240" s="17"/>
      <c r="H240" s="18"/>
      <c r="I240" s="18"/>
    </row>
    <row r="241" ht="15.6" spans="1:13">
      <c r="C241" s="1" t="s">
        <v>16</v>
      </c>
      <c r="D241" t="s">
        <v>3</v>
      </c>
      <c r="E241" s="22" t="s">
        <v>86</v>
      </c>
      <c r="F241" s="22"/>
      <c r="G241" s="22"/>
      <c r="H241" s="22"/>
      <c r="I241" s="22"/>
    </row>
    <row r="242" ht="15.6" spans="1:13">
      <c r="C242" s="1" t="s">
        <v>18</v>
      </c>
      <c r="D242" t="s">
        <v>3</v>
      </c>
      <c r="E242" s="23" t="s">
        <v>19</v>
      </c>
      <c r="F242" s="24"/>
    </row>
    <row r="243" spans="1:13">
      <c r="E243" s="24"/>
    </row>
    <row r="244" spans="1:13">
      <c r="A244" s="25" t="s">
        <v>20</v>
      </c>
      <c r="B244" s="26" t="s">
        <v>21</v>
      </c>
      <c r="C244" s="27"/>
      <c r="D244" s="27"/>
      <c r="E244" s="27"/>
      <c r="F244" s="27"/>
      <c r="G244" s="27"/>
      <c r="H244" s="27"/>
      <c r="I244" s="27"/>
      <c r="J244" s="28"/>
      <c r="K244" s="26" t="s">
        <v>22</v>
      </c>
      <c r="L244" s="28"/>
      <c r="M244" s="29" t="s">
        <v>23</v>
      </c>
    </row>
    <row r="245" spans="1:13">
      <c r="A245" s="30"/>
      <c r="K245" s="31"/>
      <c r="L245" s="32"/>
      <c r="M245" s="30"/>
    </row>
    <row r="246" spans="1:13">
      <c r="A246" s="33" t="s">
        <v>24</v>
      </c>
      <c r="B246" t="s">
        <v>25</v>
      </c>
      <c r="K246" s="31"/>
      <c r="L246" s="32"/>
      <c r="M246" s="30"/>
    </row>
    <row r="247" spans="1:13">
      <c r="A247" s="33"/>
      <c r="K247" s="31"/>
      <c r="L247" s="32"/>
      <c r="M247" s="30"/>
    </row>
    <row r="248" spans="1:13">
      <c r="A248" s="33"/>
      <c r="B248" s="34">
        <v>1</v>
      </c>
      <c r="C248" s="34" t="s">
        <v>26</v>
      </c>
      <c r="K248" s="31"/>
      <c r="L248" s="32"/>
      <c r="M248" s="30"/>
    </row>
    <row r="249" spans="1:13">
      <c r="A249" s="33"/>
      <c r="B249" s="34"/>
      <c r="C249" s="1" t="s">
        <v>27</v>
      </c>
      <c r="G249">
        <v>0</v>
      </c>
      <c r="H249" s="1" t="s">
        <v>28</v>
      </c>
      <c r="I249" s="35">
        <v>0</v>
      </c>
      <c r="K249" s="31" t="s">
        <v>29</v>
      </c>
      <c r="L249" s="36">
        <f t="shared" ref="L249:L251" si="42">+I249*G249</f>
        <v>0</v>
      </c>
      <c r="M249" s="37"/>
    </row>
    <row r="250" spans="1:13">
      <c r="A250" s="33"/>
      <c r="B250" s="34"/>
      <c r="C250" s="1" t="s">
        <v>30</v>
      </c>
      <c r="G250">
        <v>0</v>
      </c>
      <c r="H250" t="s">
        <v>28</v>
      </c>
      <c r="I250" s="35">
        <v>0</v>
      </c>
      <c r="J250" s="38"/>
      <c r="K250" s="31" t="s">
        <v>29</v>
      </c>
      <c r="L250" s="36">
        <f t="shared" si="42"/>
        <v>0</v>
      </c>
      <c r="M250" s="39"/>
    </row>
    <row r="251" spans="1:13">
      <c r="A251" s="33"/>
      <c r="B251" s="34"/>
      <c r="C251" s="1" t="s">
        <v>31</v>
      </c>
      <c r="G251">
        <v>0</v>
      </c>
      <c r="H251" t="s">
        <v>28</v>
      </c>
      <c r="I251" s="35">
        <v>0</v>
      </c>
      <c r="K251" s="31" t="s">
        <v>29</v>
      </c>
      <c r="L251" s="36">
        <f t="shared" si="42"/>
        <v>0</v>
      </c>
      <c r="M251" s="37"/>
    </row>
    <row r="252" spans="1:13">
      <c r="A252" s="33"/>
      <c r="B252" s="34">
        <v>2</v>
      </c>
      <c r="C252" s="34" t="s">
        <v>32</v>
      </c>
      <c r="D252" s="34"/>
      <c r="K252" s="31"/>
      <c r="L252" s="40"/>
      <c r="M252" s="30"/>
    </row>
    <row r="253" spans="1:13">
      <c r="A253" s="33"/>
      <c r="B253" s="34"/>
      <c r="C253" s="1" t="s">
        <v>33</v>
      </c>
      <c r="D253" s="41"/>
      <c r="E253">
        <v>1</v>
      </c>
      <c r="F253" t="s">
        <v>34</v>
      </c>
      <c r="G253" s="38">
        <v>1</v>
      </c>
      <c r="H253" t="s">
        <v>28</v>
      </c>
      <c r="I253" s="42">
        <v>190000</v>
      </c>
      <c r="K253" s="31" t="s">
        <v>29</v>
      </c>
      <c r="L253" s="43">
        <f t="shared" ref="L253:L255" si="43">I253*G253*E253</f>
        <v>190000</v>
      </c>
      <c r="M253" s="37"/>
    </row>
    <row r="254" spans="1:13">
      <c r="A254" s="33"/>
      <c r="B254" s="34"/>
      <c r="C254" s="1" t="s">
        <v>35</v>
      </c>
      <c r="D254" s="41"/>
      <c r="E254">
        <v>0</v>
      </c>
      <c r="F254" t="s">
        <v>34</v>
      </c>
      <c r="G254" s="38">
        <v>1</v>
      </c>
      <c r="H254" t="str">
        <f t="shared" ref="H254:H258" si="44">+H253</f>
        <v>x Rp.</v>
      </c>
      <c r="I254" s="42">
        <v>50000</v>
      </c>
      <c r="K254" s="31" t="str">
        <f t="shared" ref="K254:K258" si="45">+K253</f>
        <v>Rp.</v>
      </c>
      <c r="L254" s="43">
        <f t="shared" si="43"/>
        <v>0</v>
      </c>
      <c r="M254" s="37"/>
    </row>
    <row r="255" spans="1:13">
      <c r="A255" s="33"/>
      <c r="B255" s="34"/>
      <c r="C255" s="1" t="s">
        <v>36</v>
      </c>
      <c r="D255" s="41"/>
      <c r="E255">
        <v>0</v>
      </c>
      <c r="F255" t="s">
        <v>34</v>
      </c>
      <c r="G255" s="38">
        <v>1</v>
      </c>
      <c r="H255" t="str">
        <f t="shared" si="44"/>
        <v>x Rp.</v>
      </c>
      <c r="I255" s="42">
        <v>0</v>
      </c>
      <c r="K255" s="31" t="str">
        <f t="shared" si="45"/>
        <v>Rp.</v>
      </c>
      <c r="L255" s="43">
        <f t="shared" si="43"/>
        <v>0</v>
      </c>
      <c r="M255" s="44"/>
    </row>
    <row r="256" spans="1:13">
      <c r="A256" s="33"/>
      <c r="B256" s="34">
        <v>3</v>
      </c>
      <c r="C256" s="34" t="s">
        <v>37</v>
      </c>
      <c r="D256" s="41"/>
      <c r="G256" s="38" t="s">
        <v>38</v>
      </c>
      <c r="I256" s="42"/>
      <c r="J256" s="1" t="s">
        <v>10</v>
      </c>
      <c r="K256" s="31"/>
      <c r="L256" s="40"/>
      <c r="M256" s="37"/>
    </row>
    <row r="257" spans="1:13">
      <c r="A257" s="33"/>
      <c r="B257" s="34"/>
      <c r="C257" s="1" t="s">
        <v>33</v>
      </c>
      <c r="D257" s="41"/>
      <c r="E257">
        <v>0</v>
      </c>
      <c r="F257" t="s">
        <v>34</v>
      </c>
      <c r="G257" s="38">
        <v>1</v>
      </c>
      <c r="H257" t="str">
        <f>+H255</f>
        <v>x Rp.</v>
      </c>
      <c r="I257" s="42">
        <v>0</v>
      </c>
      <c r="K257" s="31" t="s">
        <v>29</v>
      </c>
      <c r="L257" s="40">
        <f t="shared" ref="L257:L259" si="46">+E257*G257*I257</f>
        <v>0</v>
      </c>
      <c r="M257" s="39"/>
    </row>
    <row r="258" spans="1:13">
      <c r="A258" s="33"/>
      <c r="B258" s="34"/>
      <c r="C258" s="1" t="s">
        <v>35</v>
      </c>
      <c r="D258" s="41"/>
      <c r="E258">
        <v>0</v>
      </c>
      <c r="F258" t="s">
        <v>34</v>
      </c>
      <c r="G258" s="38">
        <v>1</v>
      </c>
      <c r="H258" t="str">
        <f t="shared" si="44"/>
        <v>x Rp.</v>
      </c>
      <c r="I258" s="42">
        <v>0</v>
      </c>
      <c r="K258" s="31" t="str">
        <f t="shared" si="45"/>
        <v>Rp.</v>
      </c>
      <c r="L258" s="40">
        <f t="shared" si="46"/>
        <v>0</v>
      </c>
      <c r="M258" s="37"/>
    </row>
    <row r="259" spans="1:13">
      <c r="A259" s="33"/>
      <c r="B259" s="34"/>
      <c r="C259" s="1" t="s">
        <v>36</v>
      </c>
      <c r="D259" s="41"/>
      <c r="E259">
        <v>0</v>
      </c>
      <c r="F259" t="s">
        <v>34</v>
      </c>
      <c r="G259" s="38">
        <v>1</v>
      </c>
      <c r="H259" t="s">
        <v>28</v>
      </c>
      <c r="I259" s="42">
        <v>0</v>
      </c>
      <c r="K259" s="31" t="s">
        <v>29</v>
      </c>
      <c r="L259" s="40">
        <f t="shared" si="46"/>
        <v>0</v>
      </c>
      <c r="M259" s="30"/>
    </row>
    <row r="260" spans="1:13">
      <c r="A260" s="33"/>
      <c r="B260" s="34">
        <v>4</v>
      </c>
      <c r="C260" s="34" t="s">
        <v>39</v>
      </c>
      <c r="D260" s="41"/>
      <c r="G260" s="38" t="s">
        <v>38</v>
      </c>
      <c r="I260" s="42"/>
      <c r="J260" s="1" t="s">
        <v>10</v>
      </c>
      <c r="K260" s="31"/>
      <c r="L260" s="40"/>
      <c r="M260" s="37"/>
    </row>
    <row r="261" spans="1:13">
      <c r="A261" s="33"/>
      <c r="B261" s="34"/>
      <c r="C261" s="1" t="s">
        <v>40</v>
      </c>
      <c r="D261" s="41"/>
      <c r="E261">
        <v>0</v>
      </c>
      <c r="F261" t="s">
        <v>34</v>
      </c>
      <c r="G261" s="38">
        <v>1</v>
      </c>
      <c r="H261" t="str">
        <f>+H262</f>
        <v>x Rp.</v>
      </c>
      <c r="I261" s="42">
        <v>0</v>
      </c>
      <c r="K261" s="31" t="str">
        <f>+K259</f>
        <v>Rp.</v>
      </c>
      <c r="L261" s="40">
        <f t="shared" ref="L261:L263" si="47">+E261*G261*I261</f>
        <v>0</v>
      </c>
      <c r="M261" s="45"/>
    </row>
    <row r="262" spans="1:13">
      <c r="A262" s="33"/>
      <c r="B262" s="34"/>
      <c r="C262" s="1" t="s">
        <v>41</v>
      </c>
      <c r="D262" s="41"/>
      <c r="E262">
        <v>0</v>
      </c>
      <c r="F262" t="s">
        <v>34</v>
      </c>
      <c r="G262" s="38">
        <v>1</v>
      </c>
      <c r="H262" t="str">
        <f>+H259</f>
        <v>x Rp.</v>
      </c>
      <c r="I262" s="42">
        <v>0</v>
      </c>
      <c r="K262" s="31" t="str">
        <f t="shared" ref="K262:K267" si="48">+K261</f>
        <v>Rp.</v>
      </c>
      <c r="L262" s="40">
        <f t="shared" si="47"/>
        <v>0</v>
      </c>
      <c r="M262" s="39"/>
    </row>
    <row r="263" spans="1:13">
      <c r="A263" s="33"/>
      <c r="B263" s="34"/>
      <c r="C263" s="1" t="s">
        <v>42</v>
      </c>
      <c r="D263" s="41"/>
      <c r="E263">
        <v>0</v>
      </c>
      <c r="F263" t="s">
        <v>34</v>
      </c>
      <c r="G263" s="38">
        <v>1</v>
      </c>
      <c r="H263" t="str">
        <f>+H262</f>
        <v>x Rp.</v>
      </c>
      <c r="I263" s="42">
        <v>0</v>
      </c>
      <c r="K263" s="31" t="str">
        <f t="shared" si="48"/>
        <v>Rp.</v>
      </c>
      <c r="L263" s="40">
        <f t="shared" si="47"/>
        <v>0</v>
      </c>
      <c r="M263" s="37"/>
    </row>
    <row r="264" spans="1:13">
      <c r="A264" s="33"/>
      <c r="B264" s="34">
        <v>5</v>
      </c>
      <c r="C264" s="34" t="s">
        <v>43</v>
      </c>
      <c r="D264" s="41"/>
      <c r="G264" s="38" t="s">
        <v>38</v>
      </c>
      <c r="I264" s="42"/>
      <c r="J264" s="1" t="s">
        <v>10</v>
      </c>
      <c r="K264" s="31"/>
      <c r="L264" s="40"/>
      <c r="M264" s="37"/>
    </row>
    <row r="265" spans="1:13">
      <c r="A265" s="33"/>
      <c r="B265" s="34"/>
      <c r="C265" s="1" t="s">
        <v>44</v>
      </c>
      <c r="D265" s="41"/>
      <c r="E265">
        <v>0</v>
      </c>
      <c r="F265" t="str">
        <f>+F266</f>
        <v>hari x</v>
      </c>
      <c r="G265" s="38">
        <v>1</v>
      </c>
      <c r="H265" t="str">
        <f>+H266</f>
        <v>x Rp.</v>
      </c>
      <c r="I265" s="42">
        <v>0</v>
      </c>
      <c r="K265" s="31" t="str">
        <f>+K263</f>
        <v>Rp.</v>
      </c>
      <c r="L265" s="40">
        <f t="shared" ref="L265:L267" si="49">+E265*G265*I265</f>
        <v>0</v>
      </c>
      <c r="M265" s="45"/>
    </row>
    <row r="266" spans="1:13">
      <c r="A266" s="33"/>
      <c r="B266" s="34"/>
      <c r="C266" s="1" t="s">
        <v>45</v>
      </c>
      <c r="D266" s="41"/>
      <c r="E266">
        <v>0</v>
      </c>
      <c r="F266" t="str">
        <f>+F263</f>
        <v>hari x</v>
      </c>
      <c r="G266" s="38">
        <v>1</v>
      </c>
      <c r="H266" t="str">
        <f>+H263</f>
        <v>x Rp.</v>
      </c>
      <c r="I266" s="42">
        <v>0</v>
      </c>
      <c r="K266" s="31" t="str">
        <f t="shared" si="48"/>
        <v>Rp.</v>
      </c>
      <c r="L266" s="40">
        <f t="shared" si="49"/>
        <v>0</v>
      </c>
      <c r="M266" s="39"/>
    </row>
    <row r="267" spans="1:13">
      <c r="A267" s="33"/>
      <c r="B267" s="34">
        <v>6</v>
      </c>
      <c r="C267" s="34" t="s">
        <v>46</v>
      </c>
      <c r="D267" s="41"/>
      <c r="E267">
        <v>0</v>
      </c>
      <c r="F267" t="s">
        <v>47</v>
      </c>
      <c r="G267" s="38">
        <v>1</v>
      </c>
      <c r="H267" t="str">
        <f>+H265</f>
        <v>x Rp.</v>
      </c>
      <c r="I267" s="42">
        <v>0</v>
      </c>
      <c r="K267" s="31" t="str">
        <f t="shared" si="48"/>
        <v>Rp.</v>
      </c>
      <c r="L267" s="40">
        <f t="shared" si="49"/>
        <v>0</v>
      </c>
      <c r="M267" s="37"/>
    </row>
    <row r="268" spans="1:13">
      <c r="A268" s="33"/>
      <c r="B268" s="34"/>
      <c r="D268" s="41"/>
      <c r="G268" s="38"/>
      <c r="I268" s="42"/>
      <c r="K268" s="31"/>
      <c r="L268" s="40"/>
      <c r="M268" s="30"/>
    </row>
    <row r="269" spans="1:13">
      <c r="A269" s="33"/>
      <c r="C269" s="1" t="s">
        <v>10</v>
      </c>
      <c r="D269" t="s">
        <v>10</v>
      </c>
      <c r="K269" s="31"/>
      <c r="L269" s="40"/>
      <c r="M269" s="30"/>
    </row>
    <row r="270" spans="1:13">
      <c r="A270" s="33"/>
      <c r="B270" s="34" t="s">
        <v>48</v>
      </c>
      <c r="E270" t="s">
        <v>10</v>
      </c>
      <c r="K270" s="31" t="s">
        <v>29</v>
      </c>
      <c r="L270" s="46">
        <f>SUM(L249:L267)</f>
        <v>190000</v>
      </c>
      <c r="M270" s="30"/>
    </row>
    <row r="271" spans="1:13">
      <c r="A271" s="33"/>
      <c r="D271" t="s">
        <v>10</v>
      </c>
      <c r="E271" t="s">
        <v>10</v>
      </c>
      <c r="J271" t="s">
        <v>10</v>
      </c>
      <c r="K271" s="31" t="s">
        <v>10</v>
      </c>
      <c r="L271" s="40"/>
      <c r="M271" s="30"/>
    </row>
    <row r="272" spans="1:13">
      <c r="A272" s="33" t="s">
        <v>49</v>
      </c>
      <c r="B272" s="34" t="s">
        <v>50</v>
      </c>
      <c r="K272" s="31"/>
      <c r="L272" s="40"/>
      <c r="M272" s="30"/>
    </row>
    <row r="273" spans="1:13">
      <c r="A273" s="33"/>
      <c r="B273" s="34">
        <v>1</v>
      </c>
      <c r="C273" s="34" t="s">
        <v>51</v>
      </c>
      <c r="K273" s="31"/>
      <c r="L273" s="40"/>
      <c r="M273" s="30"/>
    </row>
    <row r="274" spans="1:13">
      <c r="A274" s="33"/>
      <c r="C274" s="1" t="s">
        <v>52</v>
      </c>
      <c r="K274" s="31" t="s">
        <v>29</v>
      </c>
      <c r="L274" s="40">
        <v>0</v>
      </c>
      <c r="M274" s="30"/>
    </row>
    <row r="275" spans="1:13">
      <c r="A275" s="33"/>
      <c r="C275" s="1" t="s">
        <v>53</v>
      </c>
      <c r="K275" s="31" t="s">
        <v>29</v>
      </c>
      <c r="L275" s="40">
        <v>0</v>
      </c>
      <c r="M275" s="30"/>
    </row>
    <row r="276" spans="1:13">
      <c r="A276" s="33"/>
      <c r="C276" s="1" t="s">
        <v>54</v>
      </c>
      <c r="K276" s="31" t="s">
        <v>29</v>
      </c>
      <c r="L276" s="40">
        <v>0</v>
      </c>
      <c r="M276" s="30"/>
    </row>
    <row r="277" spans="1:13">
      <c r="A277" s="33"/>
      <c r="K277" s="31" t="s">
        <v>29</v>
      </c>
      <c r="L277" s="40">
        <v>0</v>
      </c>
      <c r="M277" s="30"/>
    </row>
    <row r="278" spans="1:13">
      <c r="A278" s="33"/>
      <c r="B278" s="34">
        <v>2</v>
      </c>
      <c r="C278" s="34" t="s">
        <v>55</v>
      </c>
      <c r="K278" s="31"/>
      <c r="L278" s="40"/>
      <c r="M278" s="30"/>
    </row>
    <row r="279" spans="1:13">
      <c r="A279" s="33"/>
      <c r="C279" s="1" t="s">
        <v>56</v>
      </c>
      <c r="D279" t="s">
        <v>57</v>
      </c>
      <c r="E279" t="s">
        <v>58</v>
      </c>
      <c r="F279" t="s">
        <v>34</v>
      </c>
      <c r="H279" t="s">
        <v>59</v>
      </c>
      <c r="I279" t="s">
        <v>60</v>
      </c>
      <c r="K279" s="31" t="s">
        <v>29</v>
      </c>
      <c r="L279" s="40">
        <v>0</v>
      </c>
      <c r="M279" s="30"/>
    </row>
    <row r="280" spans="1:13">
      <c r="A280" s="33"/>
      <c r="C280" s="1" t="s">
        <v>61</v>
      </c>
      <c r="K280" s="31"/>
      <c r="L280" s="40"/>
      <c r="M280" s="30"/>
    </row>
    <row r="281" spans="1:13">
      <c r="A281" s="33"/>
      <c r="B281" s="34">
        <v>3</v>
      </c>
      <c r="C281" s="1" t="s">
        <v>62</v>
      </c>
      <c r="K281" s="31"/>
      <c r="L281" s="40"/>
      <c r="M281" s="30"/>
    </row>
    <row r="282" spans="1:13">
      <c r="A282" s="33"/>
      <c r="B282" s="34"/>
      <c r="C282" s="1" t="s">
        <v>40</v>
      </c>
      <c r="E282">
        <v>0</v>
      </c>
      <c r="F282" t="str">
        <f>+F265</f>
        <v>hari x</v>
      </c>
      <c r="G282" s="38">
        <v>1</v>
      </c>
      <c r="H282">
        <f>+H283</f>
        <v>0</v>
      </c>
      <c r="I282" s="42">
        <v>0</v>
      </c>
      <c r="K282" s="31" t="str">
        <f>+K279</f>
        <v>Rp.</v>
      </c>
      <c r="L282" s="40">
        <f t="shared" ref="L282:L284" si="50">+E282*G282*I282</f>
        <v>0</v>
      </c>
      <c r="M282" s="30"/>
    </row>
    <row r="283" spans="1:13">
      <c r="A283" s="33"/>
      <c r="B283" s="34"/>
      <c r="C283" s="1" t="s">
        <v>41</v>
      </c>
      <c r="E283">
        <v>0</v>
      </c>
      <c r="F283" t="str">
        <f>+F282</f>
        <v>hari x</v>
      </c>
      <c r="G283" s="38">
        <v>1</v>
      </c>
      <c r="H283">
        <f>+H280</f>
        <v>0</v>
      </c>
      <c r="I283" s="42">
        <v>0</v>
      </c>
      <c r="K283" s="31" t="str">
        <f>+K282</f>
        <v>Rp.</v>
      </c>
      <c r="L283" s="40">
        <f t="shared" si="50"/>
        <v>0</v>
      </c>
      <c r="M283" s="30"/>
    </row>
    <row r="284" spans="1:13">
      <c r="A284" s="33"/>
      <c r="B284" s="34"/>
      <c r="C284" s="1" t="s">
        <v>42</v>
      </c>
      <c r="E284">
        <v>0</v>
      </c>
      <c r="F284" t="str">
        <f t="shared" ref="F284:K284" si="51">+F283</f>
        <v>hari x</v>
      </c>
      <c r="G284" s="38">
        <v>0.5</v>
      </c>
      <c r="H284">
        <f t="shared" si="51"/>
        <v>0</v>
      </c>
      <c r="I284" s="42">
        <v>0</v>
      </c>
      <c r="K284" s="31" t="str">
        <f t="shared" si="51"/>
        <v>Rp.</v>
      </c>
      <c r="L284" s="40">
        <f t="shared" si="50"/>
        <v>0</v>
      </c>
      <c r="M284" s="30"/>
    </row>
    <row r="285" spans="1:13">
      <c r="A285" s="33"/>
      <c r="B285">
        <v>4</v>
      </c>
      <c r="C285" s="1" t="s">
        <v>63</v>
      </c>
      <c r="G285" s="41"/>
      <c r="I285" s="1" t="s">
        <v>10</v>
      </c>
      <c r="K285" s="31"/>
      <c r="L285" s="40"/>
      <c r="M285" s="30"/>
    </row>
    <row r="286" spans="1:13">
      <c r="A286" s="33"/>
      <c r="K286" s="31"/>
      <c r="L286" s="40"/>
      <c r="M286" s="30"/>
    </row>
    <row r="287" spans="1:13">
      <c r="A287" s="33"/>
      <c r="B287" s="34" t="s">
        <v>64</v>
      </c>
      <c r="C287" s="34"/>
      <c r="K287" s="31" t="s">
        <v>29</v>
      </c>
      <c r="L287" s="46">
        <f>SUM(L274:L286)</f>
        <v>0</v>
      </c>
      <c r="M287" s="30"/>
    </row>
    <row r="288" spans="1:13">
      <c r="A288" s="33"/>
      <c r="K288" s="31"/>
      <c r="L288" s="40"/>
      <c r="M288" s="30"/>
    </row>
    <row r="289" ht="15.15" spans="1:13">
      <c r="A289" s="33" t="s">
        <v>65</v>
      </c>
      <c r="B289" s="34" t="s">
        <v>66</v>
      </c>
      <c r="C289" s="34"/>
      <c r="K289" s="31" t="s">
        <v>29</v>
      </c>
      <c r="L289" s="46">
        <f>L287+L270</f>
        <v>190000</v>
      </c>
      <c r="M289" s="47"/>
    </row>
    <row r="290" spans="1:13">
      <c r="A290" s="30"/>
      <c r="G290" t="s">
        <v>10</v>
      </c>
      <c r="K290" s="48"/>
      <c r="L290" s="49"/>
      <c r="M290" s="47"/>
    </row>
    <row r="291" spans="1:13">
      <c r="A291" s="50"/>
      <c r="B291" s="51"/>
      <c r="C291" s="52"/>
      <c r="D291" s="52"/>
      <c r="E291" s="52"/>
      <c r="F291" s="53"/>
      <c r="G291" s="53"/>
      <c r="H291" s="53"/>
      <c r="I291" s="53"/>
      <c r="J291" s="54"/>
      <c r="K291" s="55"/>
      <c r="L291" s="54"/>
      <c r="M291" s="56"/>
    </row>
    <row r="292" spans="1:13">
      <c r="B292" t="s">
        <v>10</v>
      </c>
      <c r="K292" s="57"/>
      <c r="L292" s="57"/>
      <c r="M292" s="57"/>
    </row>
    <row r="293" spans="1:13">
      <c r="A293" t="s">
        <v>67</v>
      </c>
      <c r="H293" t="s">
        <v>68</v>
      </c>
    </row>
    <row r="294" spans="1:13">
      <c r="B294">
        <v>1</v>
      </c>
      <c r="C294" s="34" t="s">
        <v>29</v>
      </c>
      <c r="D294" s="34"/>
      <c r="E294" s="58">
        <f>+L289</f>
        <v>190000</v>
      </c>
      <c r="H294">
        <v>1</v>
      </c>
      <c r="I294" s="34" t="s">
        <v>29</v>
      </c>
      <c r="L294" s="59">
        <f>+L289</f>
        <v>190000</v>
      </c>
    </row>
    <row r="295" spans="1:13">
      <c r="A295" s="60"/>
      <c r="C295" s="34"/>
      <c r="I295" s="34"/>
    </row>
    <row r="296" spans="1:13">
      <c r="G296" t="s">
        <v>10</v>
      </c>
    </row>
    <row r="297" spans="1:13">
      <c r="B297" s="61" t="s">
        <v>69</v>
      </c>
      <c r="C297" s="61"/>
      <c r="H297" s="62" t="s">
        <v>70</v>
      </c>
      <c r="I297" s="62"/>
      <c r="J297" s="62"/>
      <c r="K297" s="62"/>
      <c r="L297" s="62"/>
    </row>
    <row r="298" spans="1:13">
      <c r="H298" s="63"/>
      <c r="I298" s="63"/>
      <c r="J298" s="63"/>
      <c r="K298" s="63"/>
      <c r="L298" s="63"/>
    </row>
    <row r="299" spans="1:13">
      <c r="H299" s="63"/>
      <c r="I299" s="63"/>
      <c r="J299" s="63"/>
      <c r="K299" s="63"/>
      <c r="L299" s="63"/>
    </row>
    <row r="300" spans="1:13">
      <c r="H300" s="63"/>
      <c r="I300" s="63"/>
      <c r="J300" s="63"/>
      <c r="K300" s="63"/>
      <c r="L300" s="63"/>
    </row>
    <row r="302" spans="1:13">
      <c r="B302" s="61" t="s">
        <v>71</v>
      </c>
      <c r="C302" s="61"/>
      <c r="H302" s="62" t="str">
        <f>E241</f>
        <v>ANUGRAH</v>
      </c>
      <c r="I302" s="62"/>
      <c r="J302" s="62"/>
      <c r="K302" s="62"/>
      <c r="L302" s="62"/>
    </row>
    <row r="304" ht="16.2" spans="1:13">
      <c r="A304" s="2"/>
      <c r="B304" s="5"/>
      <c r="C304" s="6"/>
      <c r="D304" s="3"/>
      <c r="E304" s="2"/>
      <c r="F304" s="2"/>
      <c r="G304" s="2"/>
      <c r="H304" s="2"/>
      <c r="I304" s="3"/>
      <c r="J304" s="3"/>
      <c r="K304" s="3"/>
      <c r="L304" s="3"/>
      <c r="M304" s="3"/>
    </row>
    <row r="305" ht="15.6" spans="1:13">
      <c r="A305" s="7"/>
      <c r="B305" s="8"/>
      <c r="C305" s="7"/>
      <c r="D305" s="9"/>
      <c r="E305" s="9"/>
      <c r="F305" s="10"/>
      <c r="G305" s="10"/>
      <c r="H305" s="9"/>
      <c r="I305" s="10"/>
      <c r="J305" s="10"/>
      <c r="K305" s="11"/>
      <c r="L305" s="7"/>
      <c r="M305" s="3"/>
    </row>
    <row r="306" ht="15.6" spans="1:13">
      <c r="A306" s="12"/>
      <c r="B306" s="13"/>
      <c r="C306" s="7"/>
      <c r="D306" s="9"/>
      <c r="E306" s="9"/>
      <c r="F306" s="10"/>
      <c r="G306" s="10"/>
      <c r="H306" s="9"/>
      <c r="I306" s="10"/>
      <c r="J306" s="10"/>
      <c r="K306" s="7"/>
      <c r="L306" s="73" t="s">
        <v>0</v>
      </c>
      <c r="M306" s="3"/>
    </row>
    <row r="307" ht="16.2" spans="1:13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3"/>
      <c r="L307" s="3"/>
      <c r="M307" s="3"/>
    </row>
    <row r="308" ht="15.6" spans="1:13">
      <c r="A308" s="14" t="s">
        <v>1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10" ht="15" spans="1:13">
      <c r="C310" s="1" t="s">
        <v>2</v>
      </c>
      <c r="D310" t="s">
        <v>3</v>
      </c>
      <c r="E310" s="15"/>
    </row>
    <row r="311" spans="1:13">
      <c r="C311" s="1" t="s">
        <v>4</v>
      </c>
      <c r="D311" t="s">
        <v>3</v>
      </c>
      <c r="E311" s="65">
        <v>46259</v>
      </c>
      <c r="F311" s="17" t="s">
        <v>5</v>
      </c>
      <c r="G311" s="66">
        <v>46262</v>
      </c>
      <c r="H311" s="66"/>
      <c r="I311" s="66"/>
    </row>
    <row r="312" ht="15" spans="1:13">
      <c r="C312" s="1" t="s">
        <v>6</v>
      </c>
      <c r="D312" t="s">
        <v>3</v>
      </c>
      <c r="E312" s="15" t="s">
        <v>92</v>
      </c>
    </row>
    <row r="313" spans="1:13">
      <c r="C313" s="19" t="s">
        <v>8</v>
      </c>
      <c r="D313" t="s">
        <v>3</v>
      </c>
      <c r="E313" s="20" t="s">
        <v>91</v>
      </c>
      <c r="F313" s="20"/>
      <c r="G313" s="20"/>
      <c r="H313" s="20"/>
      <c r="I313" s="20"/>
      <c r="J313" s="20"/>
      <c r="K313" s="20"/>
      <c r="L313" s="20"/>
      <c r="M313" s="20"/>
    </row>
    <row r="314" spans="1:13">
      <c r="C314"/>
      <c r="E314" s="20"/>
      <c r="F314" s="20"/>
      <c r="G314" s="20"/>
      <c r="H314" s="20"/>
      <c r="I314" s="20"/>
      <c r="J314" s="20"/>
      <c r="K314" s="20"/>
      <c r="L314" s="20"/>
      <c r="M314" s="20"/>
    </row>
    <row r="315" spans="1:13">
      <c r="C315" s="1" t="s">
        <v>11</v>
      </c>
      <c r="D315" t="s">
        <v>3</v>
      </c>
      <c r="E315" s="21" t="s">
        <v>15</v>
      </c>
      <c r="F315" s="16"/>
      <c r="G315" s="17"/>
      <c r="H315" s="18"/>
      <c r="I315" s="18"/>
    </row>
    <row r="316" ht="15.6" spans="1:13">
      <c r="C316" s="1" t="s">
        <v>16</v>
      </c>
      <c r="D316" t="s">
        <v>3</v>
      </c>
      <c r="E316" s="22" t="s">
        <v>86</v>
      </c>
      <c r="F316" s="22"/>
      <c r="G316" s="22"/>
      <c r="H316" s="22"/>
      <c r="I316" s="22"/>
    </row>
    <row r="317" ht="15.6" spans="1:13">
      <c r="C317" s="1" t="s">
        <v>18</v>
      </c>
      <c r="D317" t="s">
        <v>3</v>
      </c>
      <c r="E317" s="23" t="s">
        <v>19</v>
      </c>
      <c r="F317" s="24"/>
    </row>
    <row r="318" spans="1:13">
      <c r="E318" s="24"/>
    </row>
    <row r="319" spans="1:13">
      <c r="A319" s="25" t="s">
        <v>20</v>
      </c>
      <c r="B319" s="26" t="s">
        <v>21</v>
      </c>
      <c r="C319" s="27"/>
      <c r="D319" s="27"/>
      <c r="E319" s="27"/>
      <c r="F319" s="27"/>
      <c r="G319" s="27"/>
      <c r="H319" s="27"/>
      <c r="I319" s="27"/>
      <c r="J319" s="28"/>
      <c r="K319" s="26" t="s">
        <v>22</v>
      </c>
      <c r="L319" s="28"/>
      <c r="M319" s="29" t="s">
        <v>23</v>
      </c>
    </row>
    <row r="320" spans="1:13">
      <c r="A320" s="30"/>
      <c r="K320" s="31"/>
      <c r="L320" s="32"/>
      <c r="M320" s="30"/>
    </row>
    <row r="321" spans="1:13">
      <c r="A321" s="33" t="s">
        <v>24</v>
      </c>
      <c r="B321" t="s">
        <v>25</v>
      </c>
      <c r="K321" s="31"/>
      <c r="L321" s="32"/>
      <c r="M321" s="30"/>
    </row>
    <row r="322" spans="1:13">
      <c r="A322" s="33"/>
      <c r="K322" s="31"/>
      <c r="L322" s="32"/>
      <c r="M322" s="30"/>
    </row>
    <row r="323" spans="1:13">
      <c r="A323" s="33"/>
      <c r="B323" s="34">
        <v>1</v>
      </c>
      <c r="C323" s="34" t="s">
        <v>26</v>
      </c>
      <c r="K323" s="31"/>
      <c r="L323" s="32"/>
      <c r="M323" s="30"/>
    </row>
    <row r="324" spans="1:13">
      <c r="A324" s="33"/>
      <c r="B324" s="34"/>
      <c r="C324" s="1" t="s">
        <v>27</v>
      </c>
      <c r="G324">
        <v>0</v>
      </c>
      <c r="H324" s="1" t="s">
        <v>28</v>
      </c>
      <c r="I324" s="35">
        <v>0</v>
      </c>
      <c r="K324" s="31" t="s">
        <v>29</v>
      </c>
      <c r="L324" s="36">
        <f t="shared" ref="L324:L326" si="52">+I324*G324</f>
        <v>0</v>
      </c>
      <c r="M324" s="37"/>
    </row>
    <row r="325" spans="1:13">
      <c r="A325" s="33"/>
      <c r="B325" s="34"/>
      <c r="C325" s="1" t="s">
        <v>30</v>
      </c>
      <c r="G325">
        <v>0</v>
      </c>
      <c r="H325" t="s">
        <v>28</v>
      </c>
      <c r="I325" s="35">
        <v>0</v>
      </c>
      <c r="J325" s="38"/>
      <c r="K325" s="31" t="s">
        <v>29</v>
      </c>
      <c r="L325" s="36">
        <f t="shared" si="52"/>
        <v>0</v>
      </c>
      <c r="M325" s="39"/>
    </row>
    <row r="326" spans="1:13">
      <c r="A326" s="33"/>
      <c r="B326" s="34"/>
      <c r="C326" s="1" t="s">
        <v>31</v>
      </c>
      <c r="G326">
        <v>0</v>
      </c>
      <c r="H326" t="s">
        <v>28</v>
      </c>
      <c r="I326" s="35">
        <v>0</v>
      </c>
      <c r="K326" s="31" t="s">
        <v>29</v>
      </c>
      <c r="L326" s="36">
        <f t="shared" si="52"/>
        <v>0</v>
      </c>
      <c r="M326" s="37"/>
    </row>
    <row r="327" spans="1:13">
      <c r="A327" s="33"/>
      <c r="B327" s="34">
        <v>2</v>
      </c>
      <c r="C327" s="34" t="s">
        <v>32</v>
      </c>
      <c r="D327" s="34"/>
      <c r="K327" s="31"/>
      <c r="L327" s="40"/>
      <c r="M327" s="30"/>
    </row>
    <row r="328" spans="1:13">
      <c r="A328" s="33"/>
      <c r="B328" s="34"/>
      <c r="C328" s="1" t="s">
        <v>33</v>
      </c>
      <c r="D328" s="41"/>
      <c r="E328">
        <v>4</v>
      </c>
      <c r="F328" t="s">
        <v>34</v>
      </c>
      <c r="G328" s="38">
        <v>1</v>
      </c>
      <c r="H328" t="s">
        <v>28</v>
      </c>
      <c r="I328" s="42">
        <v>190000</v>
      </c>
      <c r="K328" s="31" t="s">
        <v>29</v>
      </c>
      <c r="L328" s="43">
        <f t="shared" ref="L328:L330" si="53">I328*G328*E328</f>
        <v>760000</v>
      </c>
      <c r="M328" s="37"/>
    </row>
    <row r="329" spans="1:13">
      <c r="A329" s="33"/>
      <c r="B329" s="34"/>
      <c r="C329" s="1" t="s">
        <v>35</v>
      </c>
      <c r="D329" s="41"/>
      <c r="E329">
        <v>3</v>
      </c>
      <c r="F329" t="s">
        <v>34</v>
      </c>
      <c r="G329" s="38">
        <v>1</v>
      </c>
      <c r="H329" t="str">
        <f t="shared" ref="H329:H333" si="54">+H328</f>
        <v>x Rp.</v>
      </c>
      <c r="I329" s="42">
        <v>50000</v>
      </c>
      <c r="K329" s="31" t="str">
        <f t="shared" ref="K329:K333" si="55">+K328</f>
        <v>Rp.</v>
      </c>
      <c r="L329" s="43">
        <f t="shared" si="53"/>
        <v>150000</v>
      </c>
      <c r="M329" s="37"/>
    </row>
    <row r="330" spans="1:13">
      <c r="A330" s="33"/>
      <c r="B330" s="34"/>
      <c r="C330" s="1" t="s">
        <v>36</v>
      </c>
      <c r="D330" s="41"/>
      <c r="E330">
        <v>0</v>
      </c>
      <c r="F330" t="s">
        <v>34</v>
      </c>
      <c r="G330" s="38">
        <v>1</v>
      </c>
      <c r="H330" t="str">
        <f t="shared" si="54"/>
        <v>x Rp.</v>
      </c>
      <c r="I330" s="42">
        <v>0</v>
      </c>
      <c r="K330" s="31" t="str">
        <f t="shared" si="55"/>
        <v>Rp.</v>
      </c>
      <c r="L330" s="43">
        <f t="shared" si="53"/>
        <v>0</v>
      </c>
      <c r="M330" s="44"/>
    </row>
    <row r="331" spans="1:13">
      <c r="A331" s="33"/>
      <c r="B331" s="34">
        <v>3</v>
      </c>
      <c r="C331" s="34" t="s">
        <v>37</v>
      </c>
      <c r="D331" s="41"/>
      <c r="G331" s="38" t="s">
        <v>38</v>
      </c>
      <c r="I331" s="42"/>
      <c r="J331" s="1" t="s">
        <v>10</v>
      </c>
      <c r="K331" s="31"/>
      <c r="L331" s="40"/>
      <c r="M331" s="37"/>
    </row>
    <row r="332" spans="1:13">
      <c r="A332" s="33"/>
      <c r="B332" s="34"/>
      <c r="C332" s="1" t="s">
        <v>33</v>
      </c>
      <c r="D332" s="41"/>
      <c r="E332">
        <v>0</v>
      </c>
      <c r="F332" t="s">
        <v>34</v>
      </c>
      <c r="G332" s="38">
        <v>1</v>
      </c>
      <c r="H332" t="str">
        <f>+H330</f>
        <v>x Rp.</v>
      </c>
      <c r="I332" s="42">
        <v>0</v>
      </c>
      <c r="K332" s="31" t="s">
        <v>29</v>
      </c>
      <c r="L332" s="40">
        <f t="shared" ref="L332:L334" si="56">+E332*G332*I332</f>
        <v>0</v>
      </c>
      <c r="M332" s="39"/>
    </row>
    <row r="333" spans="1:13">
      <c r="A333" s="33"/>
      <c r="B333" s="34"/>
      <c r="C333" s="1" t="s">
        <v>35</v>
      </c>
      <c r="D333" s="41"/>
      <c r="E333">
        <v>0</v>
      </c>
      <c r="F333" t="s">
        <v>34</v>
      </c>
      <c r="G333" s="38">
        <v>1</v>
      </c>
      <c r="H333" t="str">
        <f t="shared" si="54"/>
        <v>x Rp.</v>
      </c>
      <c r="I333" s="42">
        <v>0</v>
      </c>
      <c r="K333" s="31" t="str">
        <f t="shared" si="55"/>
        <v>Rp.</v>
      </c>
      <c r="L333" s="40">
        <f t="shared" si="56"/>
        <v>0</v>
      </c>
      <c r="M333" s="37"/>
    </row>
    <row r="334" spans="1:13">
      <c r="A334" s="33"/>
      <c r="B334" s="34"/>
      <c r="C334" s="1" t="s">
        <v>36</v>
      </c>
      <c r="D334" s="41"/>
      <c r="E334">
        <v>0</v>
      </c>
      <c r="F334" t="s">
        <v>34</v>
      </c>
      <c r="G334" s="38">
        <v>1</v>
      </c>
      <c r="H334" t="s">
        <v>28</v>
      </c>
      <c r="I334" s="42">
        <v>0</v>
      </c>
      <c r="K334" s="31" t="s">
        <v>29</v>
      </c>
      <c r="L334" s="40">
        <f t="shared" si="56"/>
        <v>0</v>
      </c>
      <c r="M334" s="30"/>
    </row>
    <row r="335" spans="1:13">
      <c r="A335" s="33"/>
      <c r="B335" s="34">
        <v>4</v>
      </c>
      <c r="C335" s="34" t="s">
        <v>39</v>
      </c>
      <c r="D335" s="41"/>
      <c r="G335" s="38" t="s">
        <v>38</v>
      </c>
      <c r="I335" s="42"/>
      <c r="J335" s="1" t="s">
        <v>10</v>
      </c>
      <c r="K335" s="31"/>
      <c r="L335" s="40"/>
      <c r="M335" s="37"/>
    </row>
    <row r="336" spans="1:13">
      <c r="A336" s="33"/>
      <c r="B336" s="34"/>
      <c r="C336" s="1" t="s">
        <v>40</v>
      </c>
      <c r="D336" s="41"/>
      <c r="E336">
        <v>0</v>
      </c>
      <c r="F336" t="s">
        <v>34</v>
      </c>
      <c r="G336" s="38">
        <v>1</v>
      </c>
      <c r="H336" t="str">
        <f>+H337</f>
        <v>x Rp.</v>
      </c>
      <c r="I336" s="42">
        <v>0</v>
      </c>
      <c r="K336" s="31" t="str">
        <f>+K334</f>
        <v>Rp.</v>
      </c>
      <c r="L336" s="40">
        <f t="shared" ref="L336:L338" si="57">+E336*G336*I336</f>
        <v>0</v>
      </c>
      <c r="M336" s="45"/>
    </row>
    <row r="337" spans="1:13">
      <c r="A337" s="33"/>
      <c r="B337" s="34"/>
      <c r="C337" s="1" t="s">
        <v>41</v>
      </c>
      <c r="D337" s="41"/>
      <c r="E337">
        <v>0</v>
      </c>
      <c r="F337" t="s">
        <v>34</v>
      </c>
      <c r="G337" s="38">
        <v>1</v>
      </c>
      <c r="H337" t="str">
        <f>+H334</f>
        <v>x Rp.</v>
      </c>
      <c r="I337" s="42">
        <v>0</v>
      </c>
      <c r="K337" s="31" t="str">
        <f t="shared" ref="K337:K342" si="58">+K336</f>
        <v>Rp.</v>
      </c>
      <c r="L337" s="40">
        <f t="shared" si="57"/>
        <v>0</v>
      </c>
      <c r="M337" s="39"/>
    </row>
    <row r="338" spans="1:13">
      <c r="A338" s="33"/>
      <c r="B338" s="34"/>
      <c r="C338" s="1" t="s">
        <v>42</v>
      </c>
      <c r="D338" s="41"/>
      <c r="E338">
        <v>0</v>
      </c>
      <c r="F338" t="s">
        <v>34</v>
      </c>
      <c r="G338" s="38">
        <v>1</v>
      </c>
      <c r="H338" t="str">
        <f>+H337</f>
        <v>x Rp.</v>
      </c>
      <c r="I338" s="42">
        <v>0</v>
      </c>
      <c r="K338" s="31" t="str">
        <f t="shared" si="58"/>
        <v>Rp.</v>
      </c>
      <c r="L338" s="40">
        <f t="shared" si="57"/>
        <v>0</v>
      </c>
      <c r="M338" s="37"/>
    </row>
    <row r="339" spans="1:13">
      <c r="A339" s="33"/>
      <c r="B339" s="34">
        <v>5</v>
      </c>
      <c r="C339" s="34" t="s">
        <v>43</v>
      </c>
      <c r="D339" s="41"/>
      <c r="G339" s="38" t="s">
        <v>38</v>
      </c>
      <c r="I339" s="42"/>
      <c r="J339" s="1" t="s">
        <v>10</v>
      </c>
      <c r="K339" s="31"/>
      <c r="L339" s="40"/>
      <c r="M339" s="37"/>
    </row>
    <row r="340" spans="1:13">
      <c r="A340" s="33"/>
      <c r="B340" s="34"/>
      <c r="C340" s="1" t="s">
        <v>44</v>
      </c>
      <c r="D340" s="41"/>
      <c r="E340">
        <v>0</v>
      </c>
      <c r="F340" t="str">
        <f>+F341</f>
        <v>hari x</v>
      </c>
      <c r="G340" s="38">
        <v>1</v>
      </c>
      <c r="H340" t="str">
        <f>+H341</f>
        <v>x Rp.</v>
      </c>
      <c r="I340" s="42">
        <v>0</v>
      </c>
      <c r="K340" s="31" t="str">
        <f>+K338</f>
        <v>Rp.</v>
      </c>
      <c r="L340" s="40">
        <f t="shared" ref="L340:L342" si="59">+E340*G340*I340</f>
        <v>0</v>
      </c>
      <c r="M340" s="45"/>
    </row>
    <row r="341" spans="1:13">
      <c r="A341" s="33"/>
      <c r="B341" s="34"/>
      <c r="C341" s="1" t="s">
        <v>45</v>
      </c>
      <c r="D341" s="41"/>
      <c r="E341">
        <v>0</v>
      </c>
      <c r="F341" t="str">
        <f>+F338</f>
        <v>hari x</v>
      </c>
      <c r="G341" s="38">
        <v>1</v>
      </c>
      <c r="H341" t="str">
        <f>+H338</f>
        <v>x Rp.</v>
      </c>
      <c r="I341" s="42">
        <v>0</v>
      </c>
      <c r="K341" s="31" t="str">
        <f t="shared" si="58"/>
        <v>Rp.</v>
      </c>
      <c r="L341" s="40">
        <f t="shared" si="59"/>
        <v>0</v>
      </c>
      <c r="M341" s="39"/>
    </row>
    <row r="342" spans="1:13">
      <c r="A342" s="33"/>
      <c r="B342" s="34">
        <v>6</v>
      </c>
      <c r="C342" s="34" t="s">
        <v>46</v>
      </c>
      <c r="D342" s="41"/>
      <c r="E342">
        <v>0</v>
      </c>
      <c r="F342" t="s">
        <v>47</v>
      </c>
      <c r="G342" s="38">
        <v>1</v>
      </c>
      <c r="H342" t="str">
        <f>+H340</f>
        <v>x Rp.</v>
      </c>
      <c r="I342" s="42">
        <v>0</v>
      </c>
      <c r="K342" s="31" t="str">
        <f t="shared" si="58"/>
        <v>Rp.</v>
      </c>
      <c r="L342" s="40">
        <f t="shared" si="59"/>
        <v>0</v>
      </c>
      <c r="M342" s="37"/>
    </row>
    <row r="343" spans="1:13">
      <c r="A343" s="33"/>
      <c r="B343" s="34"/>
      <c r="D343" s="41"/>
      <c r="G343" s="38"/>
      <c r="I343" s="42"/>
      <c r="K343" s="31"/>
      <c r="L343" s="40"/>
      <c r="M343" s="30"/>
    </row>
    <row r="344" spans="1:13">
      <c r="A344" s="33"/>
      <c r="C344" s="1" t="s">
        <v>10</v>
      </c>
      <c r="D344" t="s">
        <v>10</v>
      </c>
      <c r="K344" s="31"/>
      <c r="L344" s="40"/>
      <c r="M344" s="30"/>
    </row>
    <row r="345" spans="1:13">
      <c r="A345" s="33"/>
      <c r="B345" s="34" t="s">
        <v>48</v>
      </c>
      <c r="E345" t="s">
        <v>10</v>
      </c>
      <c r="K345" s="31" t="s">
        <v>29</v>
      </c>
      <c r="L345" s="46">
        <f>SUM(L324:L342)</f>
        <v>910000</v>
      </c>
      <c r="M345" s="30"/>
    </row>
    <row r="346" spans="1:13">
      <c r="A346" s="33"/>
      <c r="D346" t="s">
        <v>10</v>
      </c>
      <c r="E346" t="s">
        <v>10</v>
      </c>
      <c r="J346" t="s">
        <v>10</v>
      </c>
      <c r="K346" s="31" t="s">
        <v>10</v>
      </c>
      <c r="L346" s="40"/>
      <c r="M346" s="30"/>
    </row>
    <row r="347" spans="1:13">
      <c r="A347" s="33" t="s">
        <v>49</v>
      </c>
      <c r="B347" s="34" t="s">
        <v>50</v>
      </c>
      <c r="K347" s="31"/>
      <c r="L347" s="40"/>
      <c r="M347" s="30"/>
    </row>
    <row r="348" spans="1:13">
      <c r="A348" s="33"/>
      <c r="B348" s="34">
        <v>1</v>
      </c>
      <c r="C348" s="34" t="s">
        <v>51</v>
      </c>
      <c r="K348" s="31"/>
      <c r="L348" s="40"/>
      <c r="M348" s="30"/>
    </row>
    <row r="349" spans="1:13">
      <c r="A349" s="33"/>
      <c r="C349" s="1" t="s">
        <v>52</v>
      </c>
      <c r="K349" s="31" t="s">
        <v>29</v>
      </c>
      <c r="L349" s="40">
        <v>0</v>
      </c>
      <c r="M349" s="30"/>
    </row>
    <row r="350" spans="1:13">
      <c r="A350" s="33"/>
      <c r="C350" s="1" t="s">
        <v>53</v>
      </c>
      <c r="K350" s="31" t="s">
        <v>29</v>
      </c>
      <c r="L350" s="40">
        <v>0</v>
      </c>
      <c r="M350" s="30"/>
    </row>
    <row r="351" spans="1:13">
      <c r="A351" s="33"/>
      <c r="C351" s="1" t="s">
        <v>54</v>
      </c>
      <c r="K351" s="31" t="s">
        <v>29</v>
      </c>
      <c r="L351" s="40">
        <v>0</v>
      </c>
      <c r="M351" s="30"/>
    </row>
    <row r="352" spans="1:13">
      <c r="A352" s="33"/>
      <c r="K352" s="31" t="s">
        <v>29</v>
      </c>
      <c r="L352" s="40">
        <v>0</v>
      </c>
      <c r="M352" s="30"/>
    </row>
    <row r="353" spans="1:13">
      <c r="A353" s="33"/>
      <c r="B353" s="34">
        <v>2</v>
      </c>
      <c r="C353" s="34" t="s">
        <v>55</v>
      </c>
      <c r="K353" s="31"/>
      <c r="L353" s="40"/>
      <c r="M353" s="30"/>
    </row>
    <row r="354" spans="1:13">
      <c r="A354" s="33"/>
      <c r="C354" s="1" t="s">
        <v>56</v>
      </c>
      <c r="D354" t="s">
        <v>57</v>
      </c>
      <c r="E354" t="s">
        <v>58</v>
      </c>
      <c r="F354" t="s">
        <v>34</v>
      </c>
      <c r="H354" t="s">
        <v>59</v>
      </c>
      <c r="I354" t="s">
        <v>60</v>
      </c>
      <c r="K354" s="31" t="s">
        <v>29</v>
      </c>
      <c r="L354" s="40">
        <v>0</v>
      </c>
      <c r="M354" s="30"/>
    </row>
    <row r="355" spans="1:13">
      <c r="A355" s="33"/>
      <c r="C355" s="1" t="s">
        <v>61</v>
      </c>
      <c r="K355" s="31"/>
      <c r="L355" s="40"/>
      <c r="M355" s="30"/>
    </row>
    <row r="356" spans="1:13">
      <c r="A356" s="33"/>
      <c r="B356" s="34">
        <v>3</v>
      </c>
      <c r="C356" s="1" t="s">
        <v>62</v>
      </c>
      <c r="K356" s="31"/>
      <c r="L356" s="40"/>
      <c r="M356" s="30"/>
    </row>
    <row r="357" spans="1:13">
      <c r="A357" s="33"/>
      <c r="B357" s="34"/>
      <c r="C357" s="1" t="s">
        <v>40</v>
      </c>
      <c r="E357">
        <v>0</v>
      </c>
      <c r="F357" t="str">
        <f>+F340</f>
        <v>hari x</v>
      </c>
      <c r="G357" s="38">
        <v>1</v>
      </c>
      <c r="H357">
        <f>+H358</f>
        <v>0</v>
      </c>
      <c r="I357" s="42">
        <v>0</v>
      </c>
      <c r="K357" s="31" t="str">
        <f>+K354</f>
        <v>Rp.</v>
      </c>
      <c r="L357" s="40">
        <f t="shared" ref="L357:L359" si="60">+E357*G357*I357</f>
        <v>0</v>
      </c>
      <c r="M357" s="30"/>
    </row>
    <row r="358" spans="1:13">
      <c r="A358" s="33"/>
      <c r="B358" s="34"/>
      <c r="C358" s="1" t="s">
        <v>41</v>
      </c>
      <c r="E358">
        <v>0</v>
      </c>
      <c r="F358" t="str">
        <f>+F357</f>
        <v>hari x</v>
      </c>
      <c r="G358" s="38">
        <v>1</v>
      </c>
      <c r="H358">
        <f>+H355</f>
        <v>0</v>
      </c>
      <c r="I358" s="42">
        <v>0</v>
      </c>
      <c r="K358" s="31" t="str">
        <f>+K357</f>
        <v>Rp.</v>
      </c>
      <c r="L358" s="40">
        <f t="shared" si="60"/>
        <v>0</v>
      </c>
      <c r="M358" s="30"/>
    </row>
    <row r="359" spans="1:13">
      <c r="A359" s="33"/>
      <c r="B359" s="34"/>
      <c r="C359" s="1" t="s">
        <v>42</v>
      </c>
      <c r="E359">
        <v>0</v>
      </c>
      <c r="F359" t="str">
        <f t="shared" ref="F359:K359" si="61">+F358</f>
        <v>hari x</v>
      </c>
      <c r="G359" s="38">
        <v>0.5</v>
      </c>
      <c r="H359">
        <f t="shared" si="61"/>
        <v>0</v>
      </c>
      <c r="I359" s="42">
        <v>0</v>
      </c>
      <c r="K359" s="31" t="str">
        <f t="shared" si="61"/>
        <v>Rp.</v>
      </c>
      <c r="L359" s="40">
        <f t="shared" si="60"/>
        <v>0</v>
      </c>
      <c r="M359" s="30"/>
    </row>
    <row r="360" spans="1:13">
      <c r="A360" s="33"/>
      <c r="B360">
        <v>4</v>
      </c>
      <c r="C360" s="1" t="s">
        <v>63</v>
      </c>
      <c r="G360" s="41"/>
      <c r="I360" s="1" t="s">
        <v>10</v>
      </c>
      <c r="K360" s="31"/>
      <c r="L360" s="40"/>
      <c r="M360" s="30"/>
    </row>
    <row r="361" spans="1:13">
      <c r="A361" s="33"/>
      <c r="K361" s="31"/>
      <c r="L361" s="40"/>
      <c r="M361" s="30"/>
    </row>
    <row r="362" spans="1:13">
      <c r="A362" s="33"/>
      <c r="B362" s="34" t="s">
        <v>64</v>
      </c>
      <c r="C362" s="34"/>
      <c r="K362" s="31" t="s">
        <v>29</v>
      </c>
      <c r="L362" s="46">
        <f>SUM(L349:L361)</f>
        <v>0</v>
      </c>
      <c r="M362" s="30"/>
    </row>
    <row r="363" spans="1:13">
      <c r="A363" s="33"/>
      <c r="K363" s="31"/>
      <c r="L363" s="40"/>
      <c r="M363" s="30"/>
    </row>
    <row r="364" ht="15.15" spans="1:13">
      <c r="A364" s="33" t="s">
        <v>65</v>
      </c>
      <c r="B364" s="34" t="s">
        <v>66</v>
      </c>
      <c r="C364" s="34"/>
      <c r="K364" s="31" t="s">
        <v>29</v>
      </c>
      <c r="L364" s="46">
        <f>L362+L345</f>
        <v>910000</v>
      </c>
      <c r="M364" s="47"/>
    </row>
    <row r="365" spans="1:13">
      <c r="A365" s="30"/>
      <c r="G365" t="s">
        <v>10</v>
      </c>
      <c r="K365" s="48"/>
      <c r="L365" s="49"/>
      <c r="M365" s="47"/>
    </row>
    <row r="366" spans="1:13">
      <c r="A366" s="50"/>
      <c r="B366" s="51"/>
      <c r="C366" s="52"/>
      <c r="D366" s="52"/>
      <c r="E366" s="52"/>
      <c r="F366" s="53"/>
      <c r="G366" s="53"/>
      <c r="H366" s="53"/>
      <c r="I366" s="53"/>
      <c r="J366" s="54"/>
      <c r="K366" s="55"/>
      <c r="L366" s="54"/>
      <c r="M366" s="56"/>
    </row>
    <row r="367" spans="1:13">
      <c r="B367" t="s">
        <v>10</v>
      </c>
      <c r="K367" s="57"/>
      <c r="L367" s="57"/>
      <c r="M367" s="57"/>
    </row>
    <row r="368" spans="1:13">
      <c r="A368" t="s">
        <v>67</v>
      </c>
      <c r="H368" t="s">
        <v>68</v>
      </c>
    </row>
    <row r="369" spans="1:13">
      <c r="B369">
        <v>1</v>
      </c>
      <c r="C369" s="34" t="s">
        <v>29</v>
      </c>
      <c r="D369" s="34"/>
      <c r="E369" s="58">
        <f>+L364</f>
        <v>910000</v>
      </c>
      <c r="H369">
        <v>1</v>
      </c>
      <c r="I369" s="34" t="s">
        <v>29</v>
      </c>
      <c r="L369" s="59">
        <f>+L364</f>
        <v>910000</v>
      </c>
    </row>
    <row r="370" spans="1:13">
      <c r="A370" s="60"/>
      <c r="C370" s="34"/>
      <c r="I370" s="34"/>
    </row>
    <row r="371" spans="1:13">
      <c r="G371" t="s">
        <v>10</v>
      </c>
    </row>
    <row r="372" spans="1:13">
      <c r="B372" s="61" t="s">
        <v>69</v>
      </c>
      <c r="C372" s="61"/>
      <c r="H372" s="62" t="s">
        <v>70</v>
      </c>
      <c r="I372" s="62"/>
      <c r="J372" s="62"/>
      <c r="K372" s="62"/>
      <c r="L372" s="62"/>
    </row>
    <row r="373" spans="1:13">
      <c r="H373" s="63"/>
      <c r="I373" s="63"/>
      <c r="J373" s="63"/>
      <c r="K373" s="63"/>
      <c r="L373" s="63"/>
    </row>
    <row r="374" spans="1:13">
      <c r="H374" s="63"/>
      <c r="I374" s="63"/>
      <c r="J374" s="63"/>
      <c r="K374" s="63"/>
      <c r="L374" s="63"/>
    </row>
    <row r="375" spans="1:13">
      <c r="H375" s="63"/>
      <c r="I375" s="63"/>
      <c r="J375" s="63"/>
      <c r="K375" s="63"/>
      <c r="L375" s="63"/>
    </row>
    <row r="377" spans="1:13">
      <c r="B377" s="61" t="s">
        <v>71</v>
      </c>
      <c r="C377" s="61"/>
      <c r="H377" s="62" t="str">
        <f>E316</f>
        <v>ANUGRAH</v>
      </c>
      <c r="I377" s="62"/>
      <c r="J377" s="62"/>
      <c r="K377" s="62"/>
      <c r="L377" s="62"/>
    </row>
    <row r="379" ht="16.2" spans="1:13">
      <c r="A379" s="2"/>
      <c r="B379" s="5"/>
      <c r="C379" s="6"/>
      <c r="D379" s="3"/>
      <c r="E379" s="2"/>
      <c r="F379" s="2"/>
      <c r="G379" s="2"/>
      <c r="H379" s="2"/>
      <c r="I379" s="3"/>
      <c r="J379" s="3"/>
      <c r="K379" s="3"/>
      <c r="L379" s="3"/>
      <c r="M379" s="3"/>
    </row>
    <row r="380" ht="15.6" spans="1:13">
      <c r="A380" s="7"/>
      <c r="B380" s="8"/>
      <c r="C380" s="7"/>
      <c r="D380" s="9"/>
      <c r="E380" s="9"/>
      <c r="F380" s="10"/>
      <c r="G380" s="10"/>
      <c r="H380" s="9"/>
      <c r="I380" s="10"/>
      <c r="J380" s="10"/>
      <c r="K380" s="11"/>
      <c r="L380" s="7"/>
      <c r="M380" s="3"/>
    </row>
    <row r="381" ht="15.6" spans="1:13">
      <c r="A381" s="12"/>
      <c r="B381" s="13"/>
      <c r="C381" s="7"/>
      <c r="D381" s="9"/>
      <c r="E381" s="9"/>
      <c r="F381" s="10"/>
      <c r="G381" s="10"/>
      <c r="H381" s="9"/>
      <c r="I381" s="10"/>
      <c r="J381" s="10"/>
      <c r="K381" s="7"/>
      <c r="L381" s="73" t="s">
        <v>0</v>
      </c>
      <c r="M381" s="3"/>
    </row>
    <row r="382" ht="16.2" spans="1:13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3"/>
      <c r="L382" s="3"/>
      <c r="M382" s="3"/>
    </row>
    <row r="383" ht="15.6" spans="1:13">
      <c r="A383" s="14" t="s">
        <v>1</v>
      </c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</row>
    <row r="385" ht="15" spans="1:13">
      <c r="C385" s="1" t="s">
        <v>2</v>
      </c>
      <c r="D385" t="s">
        <v>3</v>
      </c>
      <c r="E385" s="15"/>
    </row>
    <row r="386" spans="1:13">
      <c r="C386" s="1" t="s">
        <v>4</v>
      </c>
      <c r="D386" t="s">
        <v>3</v>
      </c>
      <c r="E386" s="65">
        <v>46263</v>
      </c>
      <c r="F386" s="17" t="s">
        <v>5</v>
      </c>
      <c r="G386" s="66">
        <v>46264</v>
      </c>
      <c r="H386" s="66"/>
      <c r="I386" s="66"/>
    </row>
    <row r="387" ht="15" spans="1:13">
      <c r="C387" s="1" t="s">
        <v>6</v>
      </c>
      <c r="D387" t="s">
        <v>3</v>
      </c>
      <c r="E387" s="15" t="s">
        <v>93</v>
      </c>
    </row>
    <row r="388" spans="1:13">
      <c r="C388" s="19" t="s">
        <v>8</v>
      </c>
      <c r="D388" t="s">
        <v>3</v>
      </c>
      <c r="E388" s="20" t="s">
        <v>94</v>
      </c>
      <c r="F388" s="20"/>
      <c r="G388" s="20"/>
      <c r="H388" s="20"/>
      <c r="I388" s="20"/>
      <c r="J388" s="20"/>
      <c r="K388" s="20"/>
      <c r="L388" s="20"/>
      <c r="M388" s="20"/>
    </row>
    <row r="389" spans="1:13">
      <c r="C389"/>
      <c r="E389" s="20"/>
      <c r="F389" s="20"/>
      <c r="G389" s="20"/>
      <c r="H389" s="20"/>
      <c r="I389" s="20"/>
      <c r="J389" s="20"/>
      <c r="K389" s="20"/>
      <c r="L389" s="20"/>
      <c r="M389" s="20"/>
    </row>
    <row r="390" spans="1:13">
      <c r="C390" s="1" t="s">
        <v>11</v>
      </c>
      <c r="D390" t="s">
        <v>3</v>
      </c>
      <c r="E390" s="21" t="s">
        <v>14</v>
      </c>
      <c r="F390" s="16"/>
      <c r="G390" s="17"/>
      <c r="H390" s="18"/>
      <c r="I390" s="18"/>
    </row>
    <row r="391" ht="15.6" spans="1:13">
      <c r="C391" s="1" t="s">
        <v>16</v>
      </c>
      <c r="D391" t="s">
        <v>3</v>
      </c>
      <c r="E391" s="22" t="s">
        <v>86</v>
      </c>
      <c r="F391" s="22"/>
      <c r="G391" s="22"/>
      <c r="H391" s="22"/>
      <c r="I391" s="22"/>
    </row>
    <row r="392" ht="15.6" spans="1:13">
      <c r="C392" s="1" t="s">
        <v>18</v>
      </c>
      <c r="D392" t="s">
        <v>3</v>
      </c>
      <c r="E392" s="23" t="s">
        <v>19</v>
      </c>
      <c r="F392" s="24"/>
    </row>
    <row r="393" spans="1:13">
      <c r="E393" s="24"/>
    </row>
    <row r="394" spans="1:13">
      <c r="A394" s="25" t="s">
        <v>20</v>
      </c>
      <c r="B394" s="26" t="s">
        <v>21</v>
      </c>
      <c r="C394" s="27"/>
      <c r="D394" s="27"/>
      <c r="E394" s="27"/>
      <c r="F394" s="27"/>
      <c r="G394" s="27"/>
      <c r="H394" s="27"/>
      <c r="I394" s="27"/>
      <c r="J394" s="28"/>
      <c r="K394" s="26" t="s">
        <v>22</v>
      </c>
      <c r="L394" s="28"/>
      <c r="M394" s="29" t="s">
        <v>23</v>
      </c>
    </row>
    <row r="395" spans="1:13">
      <c r="A395" s="30"/>
      <c r="K395" s="31"/>
      <c r="L395" s="32"/>
      <c r="M395" s="30"/>
    </row>
    <row r="396" spans="1:13">
      <c r="A396" s="33" t="s">
        <v>24</v>
      </c>
      <c r="B396" t="s">
        <v>25</v>
      </c>
      <c r="K396" s="31"/>
      <c r="L396" s="32"/>
      <c r="M396" s="30"/>
    </row>
    <row r="397" spans="1:13">
      <c r="A397" s="33"/>
      <c r="K397" s="31"/>
      <c r="L397" s="32"/>
      <c r="M397" s="30"/>
    </row>
    <row r="398" spans="1:13">
      <c r="A398" s="33"/>
      <c r="B398" s="34">
        <v>1</v>
      </c>
      <c r="C398" s="34" t="s">
        <v>26</v>
      </c>
      <c r="K398" s="31"/>
      <c r="L398" s="32"/>
      <c r="M398" s="30"/>
    </row>
    <row r="399" spans="1:13">
      <c r="A399" s="33"/>
      <c r="B399" s="34"/>
      <c r="C399" s="1" t="s">
        <v>27</v>
      </c>
      <c r="G399">
        <v>0</v>
      </c>
      <c r="H399" s="1" t="s">
        <v>28</v>
      </c>
      <c r="I399" s="35">
        <v>0</v>
      </c>
      <c r="K399" s="31" t="s">
        <v>29</v>
      </c>
      <c r="L399" s="36">
        <f t="shared" ref="L399:L403" si="62">+I399*G399</f>
        <v>0</v>
      </c>
      <c r="M399" s="37"/>
    </row>
    <row r="400" spans="1:13">
      <c r="A400" s="33"/>
      <c r="B400" s="34"/>
      <c r="C400" s="1" t="s">
        <v>30</v>
      </c>
      <c r="G400">
        <v>0</v>
      </c>
      <c r="H400" t="s">
        <v>28</v>
      </c>
      <c r="I400" s="35">
        <v>0</v>
      </c>
      <c r="J400" s="38"/>
      <c r="K400" s="31" t="s">
        <v>29</v>
      </c>
      <c r="L400" s="36">
        <f t="shared" si="62"/>
        <v>0</v>
      </c>
      <c r="M400" s="39"/>
    </row>
    <row r="401" spans="1:13">
      <c r="A401" s="33"/>
      <c r="B401" s="34"/>
      <c r="C401" s="1" t="s">
        <v>31</v>
      </c>
      <c r="G401">
        <v>0</v>
      </c>
      <c r="H401" t="s">
        <v>28</v>
      </c>
      <c r="I401" s="35">
        <v>0</v>
      </c>
      <c r="K401" s="31" t="s">
        <v>29</v>
      </c>
      <c r="L401" s="36">
        <f t="shared" si="62"/>
        <v>0</v>
      </c>
      <c r="M401" s="37"/>
    </row>
    <row r="402" spans="1:13">
      <c r="A402" s="33"/>
      <c r="B402" s="34">
        <v>2</v>
      </c>
      <c r="C402" s="34" t="s">
        <v>32</v>
      </c>
      <c r="D402" s="34"/>
      <c r="K402" s="31"/>
      <c r="L402" s="40"/>
      <c r="M402" s="30"/>
    </row>
    <row r="403" spans="1:13">
      <c r="A403" s="33"/>
      <c r="B403" s="34"/>
      <c r="C403" s="1" t="s">
        <v>33</v>
      </c>
      <c r="D403" s="41"/>
      <c r="E403">
        <v>2</v>
      </c>
      <c r="F403" t="s">
        <v>34</v>
      </c>
      <c r="G403" s="38">
        <v>1</v>
      </c>
      <c r="H403" t="s">
        <v>28</v>
      </c>
      <c r="I403" s="42">
        <v>190000</v>
      </c>
      <c r="K403" s="31" t="s">
        <v>29</v>
      </c>
      <c r="L403" s="43">
        <f t="shared" ref="L403:L407" si="63">I403*G403*E403</f>
        <v>380000</v>
      </c>
      <c r="M403" s="37"/>
    </row>
    <row r="404" spans="1:13">
      <c r="A404" s="33"/>
      <c r="B404" s="34"/>
      <c r="C404" s="1" t="s">
        <v>35</v>
      </c>
      <c r="D404" s="41"/>
      <c r="E404">
        <v>1</v>
      </c>
      <c r="F404" t="s">
        <v>34</v>
      </c>
      <c r="G404" s="38">
        <v>1</v>
      </c>
      <c r="H404" t="str">
        <f t="shared" ref="H404:H408" si="64">+H403</f>
        <v>x Rp.</v>
      </c>
      <c r="I404" s="42">
        <v>50000</v>
      </c>
      <c r="K404" s="31" t="str">
        <f t="shared" ref="K404:K408" si="65">+K403</f>
        <v>Rp.</v>
      </c>
      <c r="L404" s="43">
        <f t="shared" si="63"/>
        <v>50000</v>
      </c>
      <c r="M404" s="37"/>
    </row>
    <row r="405" spans="1:13">
      <c r="A405" s="33"/>
      <c r="B405" s="34"/>
      <c r="C405" s="1" t="s">
        <v>36</v>
      </c>
      <c r="D405" s="41"/>
      <c r="E405">
        <v>0</v>
      </c>
      <c r="F405" t="s">
        <v>34</v>
      </c>
      <c r="G405" s="38">
        <v>1</v>
      </c>
      <c r="H405" t="str">
        <f t="shared" si="64"/>
        <v>x Rp.</v>
      </c>
      <c r="I405" s="42">
        <v>0</v>
      </c>
      <c r="K405" s="31" t="str">
        <f t="shared" si="65"/>
        <v>Rp.</v>
      </c>
      <c r="L405" s="43">
        <f t="shared" si="63"/>
        <v>0</v>
      </c>
      <c r="M405" s="44"/>
    </row>
    <row r="406" spans="1:13">
      <c r="A406" s="33"/>
      <c r="B406" s="34">
        <v>3</v>
      </c>
      <c r="C406" s="34" t="s">
        <v>37</v>
      </c>
      <c r="D406" s="41"/>
      <c r="G406" s="38" t="s">
        <v>38</v>
      </c>
      <c r="I406" s="42"/>
      <c r="J406" s="1" t="s">
        <v>10</v>
      </c>
      <c r="K406" s="31"/>
      <c r="L406" s="40"/>
      <c r="M406" s="37"/>
    </row>
    <row r="407" spans="1:13">
      <c r="A407" s="33"/>
      <c r="B407" s="34"/>
      <c r="C407" s="1" t="s">
        <v>33</v>
      </c>
      <c r="D407" s="41"/>
      <c r="E407">
        <v>0</v>
      </c>
      <c r="F407" t="s">
        <v>34</v>
      </c>
      <c r="G407" s="38">
        <v>1</v>
      </c>
      <c r="H407" t="str">
        <f>+H405</f>
        <v>x Rp.</v>
      </c>
      <c r="I407" s="42">
        <v>0</v>
      </c>
      <c r="K407" s="31" t="s">
        <v>29</v>
      </c>
      <c r="L407" s="40">
        <f t="shared" ref="L407:L411" si="66">+E407*G407*I407</f>
        <v>0</v>
      </c>
      <c r="M407" s="39"/>
    </row>
    <row r="408" spans="1:13">
      <c r="A408" s="33"/>
      <c r="B408" s="34"/>
      <c r="C408" s="1" t="s">
        <v>35</v>
      </c>
      <c r="D408" s="41"/>
      <c r="E408">
        <v>0</v>
      </c>
      <c r="F408" t="s">
        <v>34</v>
      </c>
      <c r="G408" s="38">
        <v>1</v>
      </c>
      <c r="H408" t="str">
        <f t="shared" si="64"/>
        <v>x Rp.</v>
      </c>
      <c r="I408" s="42">
        <v>0</v>
      </c>
      <c r="K408" s="31" t="str">
        <f t="shared" si="65"/>
        <v>Rp.</v>
      </c>
      <c r="L408" s="40">
        <f t="shared" si="66"/>
        <v>0</v>
      </c>
      <c r="M408" s="37"/>
    </row>
    <row r="409" spans="1:13">
      <c r="A409" s="33"/>
      <c r="B409" s="34"/>
      <c r="C409" s="1" t="s">
        <v>36</v>
      </c>
      <c r="D409" s="41"/>
      <c r="E409">
        <v>0</v>
      </c>
      <c r="F409" t="s">
        <v>34</v>
      </c>
      <c r="G409" s="38">
        <v>1</v>
      </c>
      <c r="H409" t="s">
        <v>28</v>
      </c>
      <c r="I409" s="42">
        <v>0</v>
      </c>
      <c r="K409" s="31" t="s">
        <v>29</v>
      </c>
      <c r="L409" s="40">
        <f t="shared" si="66"/>
        <v>0</v>
      </c>
      <c r="M409" s="30"/>
    </row>
    <row r="410" spans="1:13">
      <c r="A410" s="33"/>
      <c r="B410" s="34">
        <v>4</v>
      </c>
      <c r="C410" s="34" t="s">
        <v>39</v>
      </c>
      <c r="D410" s="41"/>
      <c r="G410" s="38" t="s">
        <v>38</v>
      </c>
      <c r="I410" s="42"/>
      <c r="J410" s="1" t="s">
        <v>10</v>
      </c>
      <c r="K410" s="31"/>
      <c r="L410" s="40"/>
      <c r="M410" s="37"/>
    </row>
    <row r="411" spans="1:13">
      <c r="A411" s="33"/>
      <c r="B411" s="34"/>
      <c r="C411" s="1" t="s">
        <v>40</v>
      </c>
      <c r="D411" s="41"/>
      <c r="E411">
        <v>0</v>
      </c>
      <c r="F411" t="s">
        <v>34</v>
      </c>
      <c r="G411" s="38">
        <v>1</v>
      </c>
      <c r="H411" t="str">
        <f>+H412</f>
        <v>x Rp.</v>
      </c>
      <c r="I411" s="42">
        <v>0</v>
      </c>
      <c r="K411" s="31" t="str">
        <f>+K409</f>
        <v>Rp.</v>
      </c>
      <c r="L411" s="40">
        <f t="shared" ref="L411:L415" si="67">+E411*G411*I411</f>
        <v>0</v>
      </c>
      <c r="M411" s="45"/>
    </row>
    <row r="412" spans="1:13">
      <c r="A412" s="33"/>
      <c r="B412" s="34"/>
      <c r="C412" s="1" t="s">
        <v>41</v>
      </c>
      <c r="D412" s="41"/>
      <c r="E412">
        <v>0</v>
      </c>
      <c r="F412" t="s">
        <v>34</v>
      </c>
      <c r="G412" s="38">
        <v>1</v>
      </c>
      <c r="H412" t="str">
        <f>+H409</f>
        <v>x Rp.</v>
      </c>
      <c r="I412" s="42">
        <v>0</v>
      </c>
      <c r="K412" s="31" t="str">
        <f t="shared" ref="K412:K417" si="68">+K411</f>
        <v>Rp.</v>
      </c>
      <c r="L412" s="40">
        <f t="shared" si="67"/>
        <v>0</v>
      </c>
      <c r="M412" s="39"/>
    </row>
    <row r="413" spans="1:13">
      <c r="A413" s="33"/>
      <c r="B413" s="34"/>
      <c r="C413" s="1" t="s">
        <v>42</v>
      </c>
      <c r="D413" s="41"/>
      <c r="E413">
        <v>0</v>
      </c>
      <c r="F413" t="s">
        <v>34</v>
      </c>
      <c r="G413" s="38">
        <v>1</v>
      </c>
      <c r="H413" t="str">
        <f>+H412</f>
        <v>x Rp.</v>
      </c>
      <c r="I413" s="42">
        <v>0</v>
      </c>
      <c r="K413" s="31" t="str">
        <f t="shared" si="68"/>
        <v>Rp.</v>
      </c>
      <c r="L413" s="40">
        <f t="shared" si="67"/>
        <v>0</v>
      </c>
      <c r="M413" s="37"/>
    </row>
    <row r="414" spans="1:13">
      <c r="A414" s="33"/>
      <c r="B414" s="34">
        <v>5</v>
      </c>
      <c r="C414" s="34" t="s">
        <v>43</v>
      </c>
      <c r="D414" s="41"/>
      <c r="G414" s="38" t="s">
        <v>38</v>
      </c>
      <c r="I414" s="42"/>
      <c r="J414" s="1" t="s">
        <v>10</v>
      </c>
      <c r="K414" s="31"/>
      <c r="L414" s="40"/>
      <c r="M414" s="37"/>
    </row>
    <row r="415" spans="1:13">
      <c r="A415" s="33"/>
      <c r="B415" s="34"/>
      <c r="C415" s="1" t="s">
        <v>44</v>
      </c>
      <c r="D415" s="41"/>
      <c r="E415">
        <v>0</v>
      </c>
      <c r="F415" t="str">
        <f>+F416</f>
        <v>hari x</v>
      </c>
      <c r="G415" s="38">
        <v>1</v>
      </c>
      <c r="H415" t="str">
        <f>+H416</f>
        <v>x Rp.</v>
      </c>
      <c r="I415" s="42">
        <v>0</v>
      </c>
      <c r="K415" s="31" t="str">
        <f>+K413</f>
        <v>Rp.</v>
      </c>
      <c r="L415" s="40">
        <f t="shared" ref="L415:L419" si="69">+E415*G415*I415</f>
        <v>0</v>
      </c>
      <c r="M415" s="45"/>
    </row>
    <row r="416" spans="1:13">
      <c r="A416" s="33"/>
      <c r="B416" s="34"/>
      <c r="C416" s="1" t="s">
        <v>45</v>
      </c>
      <c r="D416" s="41"/>
      <c r="E416">
        <v>0</v>
      </c>
      <c r="F416" t="str">
        <f>+F413</f>
        <v>hari x</v>
      </c>
      <c r="G416" s="38">
        <v>1</v>
      </c>
      <c r="H416" t="str">
        <f>+H413</f>
        <v>x Rp.</v>
      </c>
      <c r="I416" s="42">
        <v>0</v>
      </c>
      <c r="K416" s="31" t="str">
        <f t="shared" si="68"/>
        <v>Rp.</v>
      </c>
      <c r="L416" s="40">
        <f t="shared" si="69"/>
        <v>0</v>
      </c>
      <c r="M416" s="39"/>
    </row>
    <row r="417" spans="1:13">
      <c r="A417" s="33"/>
      <c r="B417" s="34">
        <v>6</v>
      </c>
      <c r="C417" s="34" t="s">
        <v>46</v>
      </c>
      <c r="D417" s="41"/>
      <c r="E417">
        <v>0</v>
      </c>
      <c r="F417" t="s">
        <v>47</v>
      </c>
      <c r="G417" s="38">
        <v>1</v>
      </c>
      <c r="H417" t="str">
        <f>+H415</f>
        <v>x Rp.</v>
      </c>
      <c r="I417" s="42">
        <v>0</v>
      </c>
      <c r="K417" s="31" t="str">
        <f t="shared" si="68"/>
        <v>Rp.</v>
      </c>
      <c r="L417" s="40">
        <f t="shared" si="69"/>
        <v>0</v>
      </c>
      <c r="M417" s="37"/>
    </row>
    <row r="418" spans="1:13">
      <c r="A418" s="33"/>
      <c r="B418" s="34"/>
      <c r="D418" s="41"/>
      <c r="G418" s="38"/>
      <c r="I418" s="42"/>
      <c r="K418" s="31"/>
      <c r="L418" s="40"/>
      <c r="M418" s="30"/>
    </row>
    <row r="419" spans="1:13">
      <c r="A419" s="33"/>
      <c r="C419" s="1" t="s">
        <v>10</v>
      </c>
      <c r="D419" t="s">
        <v>10</v>
      </c>
      <c r="K419" s="31"/>
      <c r="L419" s="40"/>
      <c r="M419" s="30"/>
    </row>
    <row r="420" spans="1:13">
      <c r="A420" s="33"/>
      <c r="B420" s="34" t="s">
        <v>48</v>
      </c>
      <c r="E420" t="s">
        <v>10</v>
      </c>
      <c r="K420" s="31" t="s">
        <v>29</v>
      </c>
      <c r="L420" s="46">
        <f>SUM(L399:L417)</f>
        <v>430000</v>
      </c>
      <c r="M420" s="30"/>
    </row>
    <row r="421" spans="1:13">
      <c r="A421" s="33"/>
      <c r="D421" t="s">
        <v>10</v>
      </c>
      <c r="E421" t="s">
        <v>10</v>
      </c>
      <c r="J421" t="s">
        <v>10</v>
      </c>
      <c r="K421" s="31" t="s">
        <v>10</v>
      </c>
      <c r="L421" s="40"/>
      <c r="M421" s="30"/>
    </row>
    <row r="422" spans="1:13">
      <c r="A422" s="33" t="s">
        <v>49</v>
      </c>
      <c r="B422" s="34" t="s">
        <v>50</v>
      </c>
      <c r="K422" s="31"/>
      <c r="L422" s="40"/>
      <c r="M422" s="30"/>
    </row>
    <row r="423" spans="1:13">
      <c r="A423" s="33"/>
      <c r="B423" s="34">
        <v>1</v>
      </c>
      <c r="C423" s="34" t="s">
        <v>51</v>
      </c>
      <c r="K423" s="31"/>
      <c r="L423" s="40"/>
      <c r="M423" s="30"/>
    </row>
    <row r="424" spans="1:13">
      <c r="A424" s="33"/>
      <c r="C424" s="1" t="s">
        <v>52</v>
      </c>
      <c r="K424" s="31" t="s">
        <v>29</v>
      </c>
      <c r="L424" s="40">
        <v>0</v>
      </c>
      <c r="M424" s="30"/>
    </row>
    <row r="425" spans="1:13">
      <c r="A425" s="33"/>
      <c r="C425" s="1" t="s">
        <v>53</v>
      </c>
      <c r="K425" s="31" t="s">
        <v>29</v>
      </c>
      <c r="L425" s="40">
        <v>0</v>
      </c>
      <c r="M425" s="30"/>
    </row>
    <row r="426" spans="1:13">
      <c r="A426" s="33"/>
      <c r="C426" s="1" t="s">
        <v>54</v>
      </c>
      <c r="K426" s="31" t="s">
        <v>29</v>
      </c>
      <c r="L426" s="40">
        <v>0</v>
      </c>
      <c r="M426" s="30"/>
    </row>
    <row r="427" spans="1:13">
      <c r="A427" s="33"/>
      <c r="K427" s="31" t="s">
        <v>29</v>
      </c>
      <c r="L427" s="40">
        <v>0</v>
      </c>
      <c r="M427" s="30"/>
    </row>
    <row r="428" spans="1:13">
      <c r="A428" s="33"/>
      <c r="B428" s="34">
        <v>2</v>
      </c>
      <c r="C428" s="34" t="s">
        <v>55</v>
      </c>
      <c r="K428" s="31"/>
      <c r="L428" s="40"/>
      <c r="M428" s="30"/>
    </row>
    <row r="429" spans="1:13">
      <c r="A429" s="33"/>
      <c r="C429" s="1" t="s">
        <v>56</v>
      </c>
      <c r="D429" t="s">
        <v>57</v>
      </c>
      <c r="E429" t="s">
        <v>58</v>
      </c>
      <c r="F429" t="s">
        <v>34</v>
      </c>
      <c r="H429" t="s">
        <v>59</v>
      </c>
      <c r="I429" t="s">
        <v>60</v>
      </c>
      <c r="K429" s="31" t="s">
        <v>29</v>
      </c>
      <c r="L429" s="40">
        <v>0</v>
      </c>
      <c r="M429" s="30"/>
    </row>
    <row r="430" spans="1:13">
      <c r="A430" s="33"/>
      <c r="C430" s="1" t="s">
        <v>61</v>
      </c>
      <c r="K430" s="31"/>
      <c r="L430" s="40"/>
      <c r="M430" s="30"/>
    </row>
    <row r="431" spans="1:13">
      <c r="A431" s="33"/>
      <c r="B431" s="34">
        <v>3</v>
      </c>
      <c r="C431" s="1" t="s">
        <v>62</v>
      </c>
      <c r="K431" s="31"/>
      <c r="L431" s="40"/>
      <c r="M431" s="30"/>
    </row>
    <row r="432" spans="1:13">
      <c r="A432" s="33"/>
      <c r="B432" s="34"/>
      <c r="C432" s="1" t="s">
        <v>40</v>
      </c>
      <c r="E432">
        <v>0</v>
      </c>
      <c r="F432" t="str">
        <f>+F415</f>
        <v>hari x</v>
      </c>
      <c r="G432" s="38">
        <v>1</v>
      </c>
      <c r="H432">
        <f>+H433</f>
        <v>0</v>
      </c>
      <c r="I432" s="42">
        <v>0</v>
      </c>
      <c r="K432" s="31" t="str">
        <f>+K429</f>
        <v>Rp.</v>
      </c>
      <c r="L432" s="40">
        <f t="shared" ref="L432:L436" si="70">+E432*G432*I432</f>
        <v>0</v>
      </c>
      <c r="M432" s="30"/>
    </row>
    <row r="433" spans="1:13">
      <c r="A433" s="33"/>
      <c r="B433" s="34"/>
      <c r="C433" s="1" t="s">
        <v>41</v>
      </c>
      <c r="E433">
        <v>0</v>
      </c>
      <c r="F433" t="str">
        <f>+F432</f>
        <v>hari x</v>
      </c>
      <c r="G433" s="38">
        <v>1</v>
      </c>
      <c r="H433">
        <f>+H430</f>
        <v>0</v>
      </c>
      <c r="I433" s="42">
        <v>0</v>
      </c>
      <c r="K433" s="31" t="str">
        <f>+K432</f>
        <v>Rp.</v>
      </c>
      <c r="L433" s="40">
        <f t="shared" si="70"/>
        <v>0</v>
      </c>
      <c r="M433" s="30"/>
    </row>
    <row r="434" spans="1:13">
      <c r="A434" s="33"/>
      <c r="B434" s="34"/>
      <c r="C434" s="1" t="s">
        <v>42</v>
      </c>
      <c r="E434">
        <v>0</v>
      </c>
      <c r="F434" t="str">
        <f t="shared" ref="F434:K434" si="71">+F433</f>
        <v>hari x</v>
      </c>
      <c r="G434" s="38">
        <v>0.5</v>
      </c>
      <c r="H434">
        <f t="shared" ref="H434:M434" si="72">+H433</f>
        <v>0</v>
      </c>
      <c r="I434" s="42">
        <v>0</v>
      </c>
      <c r="K434" s="31" t="str">
        <f t="shared" ref="K434:M434" si="73">+K433</f>
        <v>Rp.</v>
      </c>
      <c r="L434" s="40">
        <f t="shared" si="70"/>
        <v>0</v>
      </c>
      <c r="M434" s="30"/>
    </row>
    <row r="435" spans="1:13">
      <c r="A435" s="33"/>
      <c r="B435">
        <v>4</v>
      </c>
      <c r="C435" s="1" t="s">
        <v>63</v>
      </c>
      <c r="G435" s="41"/>
      <c r="I435" s="1" t="s">
        <v>10</v>
      </c>
      <c r="K435" s="31"/>
      <c r="L435" s="40"/>
      <c r="M435" s="30"/>
    </row>
    <row r="436" spans="1:13">
      <c r="A436" s="33"/>
      <c r="K436" s="31"/>
      <c r="L436" s="40"/>
      <c r="M436" s="30"/>
    </row>
    <row r="437" spans="1:13">
      <c r="A437" s="33"/>
      <c r="B437" s="34" t="s">
        <v>64</v>
      </c>
      <c r="C437" s="34"/>
      <c r="K437" s="31" t="s">
        <v>29</v>
      </c>
      <c r="L437" s="46">
        <f>SUM(L424:L436)</f>
        <v>0</v>
      </c>
      <c r="M437" s="30"/>
    </row>
    <row r="438" spans="1:13">
      <c r="A438" s="33"/>
      <c r="K438" s="31"/>
      <c r="L438" s="40"/>
      <c r="M438" s="30"/>
    </row>
    <row r="439" ht="15.15" spans="1:13">
      <c r="A439" s="33" t="s">
        <v>65</v>
      </c>
      <c r="B439" s="34" t="s">
        <v>66</v>
      </c>
      <c r="C439" s="34"/>
      <c r="K439" s="31" t="s">
        <v>29</v>
      </c>
      <c r="L439" s="46">
        <f>L437+L420</f>
        <v>430000</v>
      </c>
      <c r="M439" s="47"/>
    </row>
    <row r="440" spans="1:13">
      <c r="A440" s="30"/>
      <c r="G440" t="s">
        <v>10</v>
      </c>
      <c r="K440" s="48"/>
      <c r="L440" s="49"/>
      <c r="M440" s="47"/>
    </row>
    <row r="441" spans="1:13">
      <c r="A441" s="50"/>
      <c r="B441" s="51"/>
      <c r="C441" s="52"/>
      <c r="D441" s="52"/>
      <c r="E441" s="52"/>
      <c r="F441" s="53"/>
      <c r="G441" s="53"/>
      <c r="H441" s="53"/>
      <c r="I441" s="53"/>
      <c r="J441" s="54"/>
      <c r="K441" s="55"/>
      <c r="L441" s="54"/>
      <c r="M441" s="56"/>
    </row>
    <row r="442" spans="1:13">
      <c r="B442" t="s">
        <v>10</v>
      </c>
      <c r="K442" s="57"/>
      <c r="L442" s="57"/>
      <c r="M442" s="57"/>
    </row>
    <row r="443" spans="1:13">
      <c r="A443" t="s">
        <v>67</v>
      </c>
      <c r="H443" t="s">
        <v>68</v>
      </c>
    </row>
    <row r="444" spans="1:13">
      <c r="B444">
        <v>1</v>
      </c>
      <c r="C444" s="34" t="s">
        <v>29</v>
      </c>
      <c r="D444" s="34"/>
      <c r="E444" s="58">
        <f>+L439</f>
        <v>430000</v>
      </c>
      <c r="H444">
        <v>1</v>
      </c>
      <c r="I444" s="34" t="s">
        <v>29</v>
      </c>
      <c r="L444" s="59">
        <f>+L439</f>
        <v>430000</v>
      </c>
    </row>
    <row r="445" spans="1:13">
      <c r="A445" s="60"/>
      <c r="C445" s="34"/>
      <c r="I445" s="34"/>
    </row>
    <row r="446" spans="1:13">
      <c r="G446" t="s">
        <v>10</v>
      </c>
    </row>
    <row r="447" spans="1:13">
      <c r="B447" s="61" t="s">
        <v>69</v>
      </c>
      <c r="C447" s="61"/>
      <c r="H447" s="62" t="s">
        <v>70</v>
      </c>
      <c r="I447" s="62"/>
      <c r="J447" s="62"/>
      <c r="K447" s="62"/>
      <c r="L447" s="62"/>
    </row>
    <row r="448" spans="1:13">
      <c r="H448" s="63"/>
      <c r="I448" s="63"/>
      <c r="J448" s="63"/>
      <c r="K448" s="63"/>
      <c r="L448" s="63"/>
    </row>
    <row r="449" spans="1:13">
      <c r="H449" s="63"/>
      <c r="I449" s="63"/>
      <c r="J449" s="63"/>
      <c r="K449" s="63"/>
      <c r="L449" s="63"/>
    </row>
    <row r="450" spans="1:13">
      <c r="H450" s="63"/>
      <c r="I450" s="63"/>
      <c r="J450" s="63"/>
      <c r="K450" s="63"/>
      <c r="L450" s="63"/>
    </row>
    <row r="452" spans="1:13">
      <c r="B452" s="61" t="s">
        <v>71</v>
      </c>
      <c r="C452" s="61"/>
      <c r="H452" s="62" t="str">
        <f>E391</f>
        <v>ANUGRAH</v>
      </c>
      <c r="I452" s="62"/>
      <c r="J452" s="62"/>
      <c r="K452" s="62"/>
      <c r="L452" s="62"/>
    </row>
    <row r="455" ht="15.6" spans="1:13">
      <c r="A455" s="7"/>
      <c r="B455" s="8"/>
      <c r="C455" s="7"/>
      <c r="D455" s="9"/>
      <c r="E455" s="9"/>
      <c r="F455" s="10"/>
      <c r="G455" s="10"/>
      <c r="H455" s="9"/>
      <c r="I455" s="10"/>
      <c r="J455" s="10"/>
      <c r="K455" s="11"/>
      <c r="L455" s="7"/>
      <c r="M455" s="3"/>
    </row>
    <row r="456" ht="15.6" spans="1:13">
      <c r="A456" s="12"/>
      <c r="B456" s="13"/>
      <c r="C456" s="7"/>
      <c r="D456" s="9"/>
      <c r="E456" s="9"/>
      <c r="F456" s="10"/>
      <c r="G456" s="10"/>
      <c r="H456" s="9"/>
      <c r="I456" s="10"/>
      <c r="J456" s="10"/>
      <c r="K456" s="7"/>
      <c r="L456" s="73" t="s">
        <v>0</v>
      </c>
      <c r="M456" s="3"/>
    </row>
    <row r="457" ht="16.2" spans="1:13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3"/>
      <c r="M457" s="3"/>
    </row>
    <row r="458" ht="15.6" spans="1:13">
      <c r="A458" s="14" t="s">
        <v>1</v>
      </c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</row>
    <row r="460" ht="15" spans="1:13">
      <c r="C460" s="1" t="s">
        <v>2</v>
      </c>
      <c r="D460" t="s">
        <v>3</v>
      </c>
      <c r="E460" s="15"/>
    </row>
    <row r="461" spans="1:13">
      <c r="C461" s="1" t="s">
        <v>4</v>
      </c>
      <c r="D461" t="s">
        <v>3</v>
      </c>
      <c r="E461" s="65">
        <v>46265</v>
      </c>
      <c r="F461" s="17" t="s">
        <v>5</v>
      </c>
      <c r="G461" s="66">
        <v>46265</v>
      </c>
      <c r="H461" s="66"/>
      <c r="I461" s="66"/>
    </row>
    <row r="462" ht="15" spans="1:13">
      <c r="C462" s="1" t="s">
        <v>6</v>
      </c>
      <c r="D462" t="s">
        <v>3</v>
      </c>
      <c r="E462" s="15" t="s">
        <v>93</v>
      </c>
    </row>
    <row r="463" spans="1:13">
      <c r="C463" s="19" t="s">
        <v>8</v>
      </c>
      <c r="D463" t="s">
        <v>3</v>
      </c>
      <c r="E463" s="20" t="s">
        <v>95</v>
      </c>
      <c r="F463" s="20"/>
      <c r="G463" s="20"/>
      <c r="H463" s="20"/>
      <c r="I463" s="20"/>
      <c r="J463" s="20"/>
      <c r="K463" s="20"/>
      <c r="L463" s="20"/>
      <c r="M463" s="20"/>
    </row>
    <row r="464" spans="1:13">
      <c r="C464"/>
      <c r="E464" s="20"/>
      <c r="F464" s="20"/>
      <c r="G464" s="20"/>
      <c r="H464" s="20"/>
      <c r="I464" s="20"/>
      <c r="J464" s="20"/>
      <c r="K464" s="20"/>
      <c r="L464" s="20"/>
      <c r="M464" s="20"/>
    </row>
    <row r="465" spans="1:13">
      <c r="C465" s="1" t="s">
        <v>11</v>
      </c>
      <c r="D465" t="s">
        <v>3</v>
      </c>
      <c r="E465" s="21" t="s">
        <v>13</v>
      </c>
      <c r="F465" s="16"/>
      <c r="G465" s="17"/>
      <c r="H465" s="18"/>
      <c r="I465" s="18"/>
    </row>
    <row r="466" ht="15.6" spans="1:13">
      <c r="C466" s="1" t="s">
        <v>16</v>
      </c>
      <c r="D466" t="s">
        <v>3</v>
      </c>
      <c r="E466" s="22" t="s">
        <v>86</v>
      </c>
      <c r="F466" s="22"/>
      <c r="G466" s="22"/>
      <c r="H466" s="22"/>
      <c r="I466" s="22"/>
    </row>
    <row r="467" ht="15.6" spans="1:13">
      <c r="C467" s="1" t="s">
        <v>18</v>
      </c>
      <c r="D467" t="s">
        <v>3</v>
      </c>
      <c r="E467" s="23" t="s">
        <v>19</v>
      </c>
      <c r="F467" s="24"/>
    </row>
    <row r="468" spans="1:13">
      <c r="E468" s="24"/>
    </row>
    <row r="469" spans="1:13">
      <c r="A469" s="25" t="s">
        <v>20</v>
      </c>
      <c r="B469" s="26" t="s">
        <v>21</v>
      </c>
      <c r="C469" s="27"/>
      <c r="D469" s="27"/>
      <c r="E469" s="27"/>
      <c r="F469" s="27"/>
      <c r="G469" s="27"/>
      <c r="H469" s="27"/>
      <c r="I469" s="27"/>
      <c r="J469" s="28"/>
      <c r="K469" s="26" t="s">
        <v>22</v>
      </c>
      <c r="L469" s="28"/>
      <c r="M469" s="29" t="s">
        <v>23</v>
      </c>
    </row>
    <row r="470" spans="1:13">
      <c r="A470" s="30"/>
      <c r="K470" s="31"/>
      <c r="L470" s="32"/>
      <c r="M470" s="30"/>
    </row>
    <row r="471" spans="1:13">
      <c r="A471" s="33" t="s">
        <v>24</v>
      </c>
      <c r="B471" t="s">
        <v>25</v>
      </c>
      <c r="K471" s="31"/>
      <c r="L471" s="32"/>
      <c r="M471" s="30"/>
    </row>
    <row r="472" spans="1:13">
      <c r="A472" s="33"/>
      <c r="K472" s="31"/>
      <c r="L472" s="32"/>
      <c r="M472" s="30"/>
    </row>
    <row r="473" spans="1:13">
      <c r="A473" s="33"/>
      <c r="B473" s="34">
        <v>1</v>
      </c>
      <c r="C473" s="34" t="s">
        <v>26</v>
      </c>
      <c r="K473" s="31"/>
      <c r="L473" s="32"/>
      <c r="M473" s="30"/>
    </row>
    <row r="474" spans="1:13">
      <c r="A474" s="33"/>
      <c r="B474" s="34"/>
      <c r="C474" s="1" t="s">
        <v>27</v>
      </c>
      <c r="G474">
        <v>0</v>
      </c>
      <c r="H474" s="1" t="s">
        <v>28</v>
      </c>
      <c r="I474" s="35">
        <v>0</v>
      </c>
      <c r="K474" s="31" t="s">
        <v>29</v>
      </c>
      <c r="L474" s="36">
        <f t="shared" ref="L474:L478" si="74">+I474*G474</f>
        <v>0</v>
      </c>
      <c r="M474" s="37"/>
    </row>
    <row r="475" spans="1:13">
      <c r="A475" s="33"/>
      <c r="B475" s="34"/>
      <c r="C475" s="1" t="s">
        <v>30</v>
      </c>
      <c r="G475">
        <v>0</v>
      </c>
      <c r="H475" t="s">
        <v>28</v>
      </c>
      <c r="I475" s="35">
        <v>0</v>
      </c>
      <c r="J475" s="38"/>
      <c r="K475" s="31" t="s">
        <v>29</v>
      </c>
      <c r="L475" s="36">
        <f t="shared" si="74"/>
        <v>0</v>
      </c>
      <c r="M475" s="39"/>
    </row>
    <row r="476" spans="1:13">
      <c r="A476" s="33"/>
      <c r="B476" s="34"/>
      <c r="C476" s="1" t="s">
        <v>31</v>
      </c>
      <c r="G476">
        <v>0</v>
      </c>
      <c r="H476" t="s">
        <v>28</v>
      </c>
      <c r="I476" s="35">
        <v>0</v>
      </c>
      <c r="K476" s="31" t="s">
        <v>29</v>
      </c>
      <c r="L476" s="36">
        <f t="shared" si="74"/>
        <v>0</v>
      </c>
      <c r="M476" s="37"/>
    </row>
    <row r="477" spans="1:13">
      <c r="A477" s="33"/>
      <c r="B477" s="34">
        <v>2</v>
      </c>
      <c r="C477" s="34" t="s">
        <v>32</v>
      </c>
      <c r="D477" s="34"/>
      <c r="K477" s="31"/>
      <c r="L477" s="40"/>
      <c r="M477" s="30"/>
    </row>
    <row r="478" spans="1:13">
      <c r="A478" s="33"/>
      <c r="B478" s="34"/>
      <c r="C478" s="1" t="s">
        <v>33</v>
      </c>
      <c r="D478" s="41"/>
      <c r="E478">
        <v>1</v>
      </c>
      <c r="F478" t="s">
        <v>34</v>
      </c>
      <c r="G478" s="38">
        <v>1</v>
      </c>
      <c r="H478" t="s">
        <v>28</v>
      </c>
      <c r="I478" s="42">
        <v>190000</v>
      </c>
      <c r="K478" s="31" t="s">
        <v>29</v>
      </c>
      <c r="L478" s="43">
        <f t="shared" ref="L478:L482" si="75">I478*G478*E478</f>
        <v>190000</v>
      </c>
      <c r="M478" s="37"/>
    </row>
    <row r="479" spans="1:13">
      <c r="A479" s="33"/>
      <c r="B479" s="34"/>
      <c r="C479" s="1" t="s">
        <v>35</v>
      </c>
      <c r="D479" s="41"/>
      <c r="E479">
        <v>0</v>
      </c>
      <c r="F479" t="s">
        <v>34</v>
      </c>
      <c r="G479" s="38">
        <v>1</v>
      </c>
      <c r="H479" t="str">
        <f t="shared" ref="H479:H483" si="76">+H478</f>
        <v>x Rp.</v>
      </c>
      <c r="I479" s="42">
        <v>50000</v>
      </c>
      <c r="K479" s="31" t="str">
        <f t="shared" ref="K479:K483" si="77">+K478</f>
        <v>Rp.</v>
      </c>
      <c r="L479" s="43">
        <f t="shared" si="75"/>
        <v>0</v>
      </c>
      <c r="M479" s="37"/>
    </row>
    <row r="480" spans="1:13">
      <c r="A480" s="33"/>
      <c r="B480" s="34"/>
      <c r="C480" s="1" t="s">
        <v>36</v>
      </c>
      <c r="D480" s="41"/>
      <c r="E480">
        <v>0</v>
      </c>
      <c r="F480" t="s">
        <v>34</v>
      </c>
      <c r="G480" s="38">
        <v>1</v>
      </c>
      <c r="H480" t="str">
        <f t="shared" si="76"/>
        <v>x Rp.</v>
      </c>
      <c r="I480" s="42">
        <v>0</v>
      </c>
      <c r="K480" s="31" t="str">
        <f t="shared" si="77"/>
        <v>Rp.</v>
      </c>
      <c r="L480" s="43">
        <f t="shared" si="75"/>
        <v>0</v>
      </c>
      <c r="M480" s="44"/>
    </row>
    <row r="481" spans="1:13">
      <c r="A481" s="33"/>
      <c r="B481" s="34">
        <v>3</v>
      </c>
      <c r="C481" s="34" t="s">
        <v>37</v>
      </c>
      <c r="D481" s="41"/>
      <c r="G481" s="38" t="s">
        <v>38</v>
      </c>
      <c r="I481" s="42"/>
      <c r="J481" s="1" t="s">
        <v>10</v>
      </c>
      <c r="K481" s="31"/>
      <c r="L481" s="40"/>
      <c r="M481" s="37"/>
    </row>
    <row r="482" spans="1:13">
      <c r="A482" s="33"/>
      <c r="B482" s="34"/>
      <c r="C482" s="1" t="s">
        <v>33</v>
      </c>
      <c r="D482" s="41"/>
      <c r="E482">
        <v>0</v>
      </c>
      <c r="F482" t="s">
        <v>34</v>
      </c>
      <c r="G482" s="38">
        <v>1</v>
      </c>
      <c r="H482" t="str">
        <f>+H480</f>
        <v>x Rp.</v>
      </c>
      <c r="I482" s="42">
        <v>0</v>
      </c>
      <c r="K482" s="31" t="s">
        <v>29</v>
      </c>
      <c r="L482" s="40">
        <f t="shared" ref="L482:L486" si="78">+E482*G482*I482</f>
        <v>0</v>
      </c>
      <c r="M482" s="39"/>
    </row>
    <row r="483" spans="1:13">
      <c r="A483" s="33"/>
      <c r="B483" s="34"/>
      <c r="C483" s="1" t="s">
        <v>35</v>
      </c>
      <c r="D483" s="41"/>
      <c r="E483">
        <v>0</v>
      </c>
      <c r="F483" t="s">
        <v>34</v>
      </c>
      <c r="G483" s="38">
        <v>1</v>
      </c>
      <c r="H483" t="str">
        <f t="shared" si="76"/>
        <v>x Rp.</v>
      </c>
      <c r="I483" s="42">
        <v>0</v>
      </c>
      <c r="K483" s="31" t="str">
        <f t="shared" si="77"/>
        <v>Rp.</v>
      </c>
      <c r="L483" s="40">
        <f t="shared" si="78"/>
        <v>0</v>
      </c>
      <c r="M483" s="37"/>
    </row>
    <row r="484" spans="1:13">
      <c r="A484" s="33"/>
      <c r="B484" s="34"/>
      <c r="C484" s="1" t="s">
        <v>36</v>
      </c>
      <c r="D484" s="41"/>
      <c r="E484">
        <v>0</v>
      </c>
      <c r="F484" t="s">
        <v>34</v>
      </c>
      <c r="G484" s="38">
        <v>1</v>
      </c>
      <c r="H484" t="s">
        <v>28</v>
      </c>
      <c r="I484" s="42">
        <v>0</v>
      </c>
      <c r="K484" s="31" t="s">
        <v>29</v>
      </c>
      <c r="L484" s="40">
        <f t="shared" si="78"/>
        <v>0</v>
      </c>
      <c r="M484" s="30"/>
    </row>
    <row r="485" spans="1:13">
      <c r="A485" s="33"/>
      <c r="B485" s="34">
        <v>4</v>
      </c>
      <c r="C485" s="34" t="s">
        <v>39</v>
      </c>
      <c r="D485" s="41"/>
      <c r="G485" s="38" t="s">
        <v>38</v>
      </c>
      <c r="I485" s="42"/>
      <c r="J485" s="1" t="s">
        <v>10</v>
      </c>
      <c r="K485" s="31"/>
      <c r="L485" s="40"/>
      <c r="M485" s="37"/>
    </row>
    <row r="486" spans="1:13">
      <c r="A486" s="33"/>
      <c r="B486" s="34"/>
      <c r="C486" s="1" t="s">
        <v>40</v>
      </c>
      <c r="D486" s="41"/>
      <c r="E486">
        <v>0</v>
      </c>
      <c r="F486" t="s">
        <v>34</v>
      </c>
      <c r="G486" s="38">
        <v>1</v>
      </c>
      <c r="H486" t="str">
        <f>+H487</f>
        <v>x Rp.</v>
      </c>
      <c r="I486" s="42">
        <v>0</v>
      </c>
      <c r="K486" s="31" t="str">
        <f>+K484</f>
        <v>Rp.</v>
      </c>
      <c r="L486" s="40">
        <f t="shared" ref="L486:L490" si="79">+E486*G486*I486</f>
        <v>0</v>
      </c>
      <c r="M486" s="45"/>
    </row>
    <row r="487" spans="1:13">
      <c r="A487" s="33"/>
      <c r="B487" s="34"/>
      <c r="C487" s="1" t="s">
        <v>41</v>
      </c>
      <c r="D487" s="41"/>
      <c r="E487">
        <v>0</v>
      </c>
      <c r="F487" t="s">
        <v>34</v>
      </c>
      <c r="G487" s="38">
        <v>1</v>
      </c>
      <c r="H487" t="str">
        <f>+H484</f>
        <v>x Rp.</v>
      </c>
      <c r="I487" s="42">
        <v>0</v>
      </c>
      <c r="K487" s="31" t="str">
        <f t="shared" ref="K487:K492" si="80">+K486</f>
        <v>Rp.</v>
      </c>
      <c r="L487" s="40">
        <f t="shared" si="79"/>
        <v>0</v>
      </c>
      <c r="M487" s="39"/>
    </row>
    <row r="488" spans="1:13">
      <c r="A488" s="33"/>
      <c r="B488" s="34"/>
      <c r="C488" s="1" t="s">
        <v>42</v>
      </c>
      <c r="D488" s="41"/>
      <c r="E488">
        <v>0</v>
      </c>
      <c r="F488" t="s">
        <v>34</v>
      </c>
      <c r="G488" s="38">
        <v>1</v>
      </c>
      <c r="H488" t="str">
        <f>+H487</f>
        <v>x Rp.</v>
      </c>
      <c r="I488" s="42">
        <v>0</v>
      </c>
      <c r="K488" s="31" t="str">
        <f t="shared" si="80"/>
        <v>Rp.</v>
      </c>
      <c r="L488" s="40">
        <f t="shared" si="79"/>
        <v>0</v>
      </c>
      <c r="M488" s="37"/>
    </row>
    <row r="489" spans="1:13">
      <c r="A489" s="33"/>
      <c r="B489" s="34">
        <v>5</v>
      </c>
      <c r="C489" s="34" t="s">
        <v>43</v>
      </c>
      <c r="D489" s="41"/>
      <c r="G489" s="38" t="s">
        <v>38</v>
      </c>
      <c r="I489" s="42"/>
      <c r="J489" s="1" t="s">
        <v>10</v>
      </c>
      <c r="K489" s="31"/>
      <c r="L489" s="40"/>
      <c r="M489" s="37"/>
    </row>
    <row r="490" spans="1:13">
      <c r="A490" s="33"/>
      <c r="B490" s="34"/>
      <c r="C490" s="1" t="s">
        <v>44</v>
      </c>
      <c r="D490" s="41"/>
      <c r="E490">
        <v>0</v>
      </c>
      <c r="F490" t="str">
        <f>+F491</f>
        <v>hari x</v>
      </c>
      <c r="G490" s="38">
        <v>1</v>
      </c>
      <c r="H490" t="str">
        <f>+H491</f>
        <v>x Rp.</v>
      </c>
      <c r="I490" s="42">
        <v>0</v>
      </c>
      <c r="K490" s="31" t="str">
        <f>+K488</f>
        <v>Rp.</v>
      </c>
      <c r="L490" s="40">
        <f t="shared" ref="L490:L494" si="81">+E490*G490*I490</f>
        <v>0</v>
      </c>
      <c r="M490" s="45"/>
    </row>
    <row r="491" spans="1:13">
      <c r="A491" s="33"/>
      <c r="B491" s="34"/>
      <c r="C491" s="1" t="s">
        <v>45</v>
      </c>
      <c r="D491" s="41"/>
      <c r="E491">
        <v>0</v>
      </c>
      <c r="F491" t="str">
        <f>+F488</f>
        <v>hari x</v>
      </c>
      <c r="G491" s="38">
        <v>1</v>
      </c>
      <c r="H491" t="str">
        <f>+H488</f>
        <v>x Rp.</v>
      </c>
      <c r="I491" s="42">
        <v>0</v>
      </c>
      <c r="K491" s="31" t="str">
        <f t="shared" si="80"/>
        <v>Rp.</v>
      </c>
      <c r="L491" s="40">
        <f t="shared" si="81"/>
        <v>0</v>
      </c>
      <c r="M491" s="39"/>
    </row>
    <row r="492" spans="1:13">
      <c r="A492" s="33"/>
      <c r="B492" s="34">
        <v>6</v>
      </c>
      <c r="C492" s="34" t="s">
        <v>46</v>
      </c>
      <c r="D492" s="41"/>
      <c r="E492">
        <v>0</v>
      </c>
      <c r="F492" t="s">
        <v>47</v>
      </c>
      <c r="G492" s="38">
        <v>1</v>
      </c>
      <c r="H492" t="str">
        <f>+H490</f>
        <v>x Rp.</v>
      </c>
      <c r="I492" s="42">
        <v>0</v>
      </c>
      <c r="K492" s="31" t="str">
        <f t="shared" si="80"/>
        <v>Rp.</v>
      </c>
      <c r="L492" s="40">
        <f t="shared" si="81"/>
        <v>0</v>
      </c>
      <c r="M492" s="37"/>
    </row>
    <row r="493" spans="1:13">
      <c r="A493" s="33"/>
      <c r="B493" s="34"/>
      <c r="D493" s="41"/>
      <c r="G493" s="38"/>
      <c r="I493" s="42"/>
      <c r="K493" s="31"/>
      <c r="L493" s="40"/>
      <c r="M493" s="30"/>
    </row>
    <row r="494" spans="1:13">
      <c r="A494" s="33"/>
      <c r="C494" s="1" t="s">
        <v>10</v>
      </c>
      <c r="D494" t="s">
        <v>10</v>
      </c>
      <c r="K494" s="31"/>
      <c r="L494" s="40"/>
      <c r="M494" s="30"/>
    </row>
    <row r="495" spans="1:13">
      <c r="A495" s="33"/>
      <c r="B495" s="34" t="s">
        <v>48</v>
      </c>
      <c r="E495" t="s">
        <v>10</v>
      </c>
      <c r="K495" s="31" t="s">
        <v>29</v>
      </c>
      <c r="L495" s="46">
        <f>SUM(L474:L492)</f>
        <v>190000</v>
      </c>
      <c r="M495" s="30"/>
    </row>
    <row r="496" spans="1:13">
      <c r="A496" s="33"/>
      <c r="D496" t="s">
        <v>10</v>
      </c>
      <c r="E496" t="s">
        <v>10</v>
      </c>
      <c r="J496" t="s">
        <v>10</v>
      </c>
      <c r="K496" s="31" t="s">
        <v>10</v>
      </c>
      <c r="L496" s="40"/>
      <c r="M496" s="30"/>
    </row>
    <row r="497" spans="1:13">
      <c r="A497" s="33" t="s">
        <v>49</v>
      </c>
      <c r="B497" s="34" t="s">
        <v>50</v>
      </c>
      <c r="K497" s="31"/>
      <c r="L497" s="40"/>
      <c r="M497" s="30"/>
    </row>
    <row r="498" spans="1:13">
      <c r="A498" s="33"/>
      <c r="B498" s="34">
        <v>1</v>
      </c>
      <c r="C498" s="34" t="s">
        <v>51</v>
      </c>
      <c r="K498" s="31"/>
      <c r="L498" s="40"/>
      <c r="M498" s="30"/>
    </row>
    <row r="499" spans="1:13">
      <c r="A499" s="33"/>
      <c r="C499" s="1" t="s">
        <v>52</v>
      </c>
      <c r="K499" s="31" t="s">
        <v>29</v>
      </c>
      <c r="L499" s="40">
        <v>0</v>
      </c>
      <c r="M499" s="30"/>
    </row>
    <row r="500" spans="1:13">
      <c r="A500" s="33"/>
      <c r="C500" s="1" t="s">
        <v>53</v>
      </c>
      <c r="K500" s="31" t="s">
        <v>29</v>
      </c>
      <c r="L500" s="40">
        <v>0</v>
      </c>
      <c r="M500" s="30"/>
    </row>
    <row r="501" spans="1:13">
      <c r="A501" s="33"/>
      <c r="C501" s="1" t="s">
        <v>54</v>
      </c>
      <c r="K501" s="31" t="s">
        <v>29</v>
      </c>
      <c r="L501" s="40">
        <v>0</v>
      </c>
      <c r="M501" s="30"/>
    </row>
    <row r="502" spans="1:13">
      <c r="A502" s="33"/>
      <c r="K502" s="31" t="s">
        <v>29</v>
      </c>
      <c r="L502" s="40">
        <v>0</v>
      </c>
      <c r="M502" s="30"/>
    </row>
    <row r="503" spans="1:13">
      <c r="A503" s="33"/>
      <c r="B503" s="34">
        <v>2</v>
      </c>
      <c r="C503" s="34" t="s">
        <v>55</v>
      </c>
      <c r="K503" s="31"/>
      <c r="L503" s="40"/>
      <c r="M503" s="30"/>
    </row>
    <row r="504" spans="1:13">
      <c r="A504" s="33"/>
      <c r="C504" s="1" t="s">
        <v>56</v>
      </c>
      <c r="D504" t="s">
        <v>57</v>
      </c>
      <c r="E504" t="s">
        <v>58</v>
      </c>
      <c r="F504" t="s">
        <v>34</v>
      </c>
      <c r="H504" t="s">
        <v>59</v>
      </c>
      <c r="I504" t="s">
        <v>60</v>
      </c>
      <c r="K504" s="31" t="s">
        <v>29</v>
      </c>
      <c r="L504" s="40">
        <v>0</v>
      </c>
      <c r="M504" s="30"/>
    </row>
    <row r="505" spans="1:13">
      <c r="A505" s="33"/>
      <c r="C505" s="1" t="s">
        <v>61</v>
      </c>
      <c r="K505" s="31"/>
      <c r="L505" s="40"/>
      <c r="M505" s="30"/>
    </row>
    <row r="506" spans="1:13">
      <c r="A506" s="33"/>
      <c r="B506" s="34">
        <v>3</v>
      </c>
      <c r="C506" s="1" t="s">
        <v>62</v>
      </c>
      <c r="K506" s="31"/>
      <c r="L506" s="40"/>
      <c r="M506" s="30"/>
    </row>
    <row r="507" spans="1:13">
      <c r="A507" s="33"/>
      <c r="B507" s="34"/>
      <c r="C507" s="1" t="s">
        <v>40</v>
      </c>
      <c r="E507">
        <v>0</v>
      </c>
      <c r="F507" t="str">
        <f>+F490</f>
        <v>hari x</v>
      </c>
      <c r="G507" s="38">
        <v>1</v>
      </c>
      <c r="H507">
        <f>+H508</f>
        <v>0</v>
      </c>
      <c r="I507" s="42">
        <v>0</v>
      </c>
      <c r="K507" s="31" t="str">
        <f>+K504</f>
        <v>Rp.</v>
      </c>
      <c r="L507" s="40">
        <f t="shared" ref="L507:L511" si="82">+E507*G507*I507</f>
        <v>0</v>
      </c>
      <c r="M507" s="30"/>
    </row>
    <row r="508" spans="1:13">
      <c r="A508" s="33"/>
      <c r="B508" s="34"/>
      <c r="C508" s="1" t="s">
        <v>41</v>
      </c>
      <c r="E508">
        <v>0</v>
      </c>
      <c r="F508" t="str">
        <f>+F507</f>
        <v>hari x</v>
      </c>
      <c r="G508" s="38">
        <v>1</v>
      </c>
      <c r="H508">
        <f>+H505</f>
        <v>0</v>
      </c>
      <c r="I508" s="42">
        <v>0</v>
      </c>
      <c r="K508" s="31" t="str">
        <f>+K507</f>
        <v>Rp.</v>
      </c>
      <c r="L508" s="40">
        <f t="shared" si="82"/>
        <v>0</v>
      </c>
      <c r="M508" s="30"/>
    </row>
    <row r="509" spans="1:13">
      <c r="A509" s="33"/>
      <c r="B509" s="34"/>
      <c r="C509" s="1" t="s">
        <v>42</v>
      </c>
      <c r="E509">
        <v>0</v>
      </c>
      <c r="F509" t="str">
        <f t="shared" ref="F509:K509" si="83">+F508</f>
        <v>hari x</v>
      </c>
      <c r="G509" s="38">
        <v>0.5</v>
      </c>
      <c r="H509">
        <f t="shared" ref="H509:M509" si="84">+H508</f>
        <v>0</v>
      </c>
      <c r="I509" s="42">
        <v>0</v>
      </c>
      <c r="K509" s="31" t="str">
        <f t="shared" ref="K509:M509" si="85">+K508</f>
        <v>Rp.</v>
      </c>
      <c r="L509" s="40">
        <f t="shared" si="82"/>
        <v>0</v>
      </c>
      <c r="M509" s="30"/>
    </row>
    <row r="510" spans="1:13">
      <c r="A510" s="33"/>
      <c r="B510">
        <v>4</v>
      </c>
      <c r="C510" s="1" t="s">
        <v>63</v>
      </c>
      <c r="G510" s="41"/>
      <c r="I510" s="1" t="s">
        <v>10</v>
      </c>
      <c r="K510" s="31"/>
      <c r="L510" s="40"/>
      <c r="M510" s="30"/>
    </row>
    <row r="511" spans="1:13">
      <c r="A511" s="33"/>
      <c r="K511" s="31"/>
      <c r="L511" s="40"/>
      <c r="M511" s="30"/>
    </row>
    <row r="512" spans="1:13">
      <c r="A512" s="33"/>
      <c r="B512" s="34" t="s">
        <v>64</v>
      </c>
      <c r="C512" s="34"/>
      <c r="K512" s="31" t="s">
        <v>29</v>
      </c>
      <c r="L512" s="46">
        <f>SUM(L499:L511)</f>
        <v>0</v>
      </c>
      <c r="M512" s="30"/>
    </row>
    <row r="513" spans="1:13">
      <c r="A513" s="33"/>
      <c r="K513" s="31"/>
      <c r="L513" s="40"/>
      <c r="M513" s="30"/>
    </row>
    <row r="514" ht="15.15" spans="1:13">
      <c r="A514" s="33" t="s">
        <v>65</v>
      </c>
      <c r="B514" s="34" t="s">
        <v>66</v>
      </c>
      <c r="C514" s="34"/>
      <c r="K514" s="31" t="s">
        <v>29</v>
      </c>
      <c r="L514" s="46">
        <f>L512+L495</f>
        <v>190000</v>
      </c>
      <c r="M514" s="47"/>
    </row>
    <row r="515" spans="1:13">
      <c r="A515" s="30"/>
      <c r="G515" t="s">
        <v>10</v>
      </c>
      <c r="K515" s="48"/>
      <c r="L515" s="49"/>
      <c r="M515" s="47"/>
    </row>
    <row r="516" spans="1:13">
      <c r="A516" s="50"/>
      <c r="B516" s="51"/>
      <c r="C516" s="52"/>
      <c r="D516" s="52"/>
      <c r="E516" s="52"/>
      <c r="F516" s="53"/>
      <c r="G516" s="53"/>
      <c r="H516" s="53"/>
      <c r="I516" s="53"/>
      <c r="J516" s="54"/>
      <c r="K516" s="55"/>
      <c r="L516" s="54"/>
      <c r="M516" s="56"/>
    </row>
    <row r="517" spans="1:13">
      <c r="B517" t="s">
        <v>10</v>
      </c>
      <c r="K517" s="57"/>
      <c r="L517" s="57"/>
      <c r="M517" s="57"/>
    </row>
    <row r="518" spans="1:13">
      <c r="A518" t="s">
        <v>67</v>
      </c>
      <c r="H518" t="s">
        <v>68</v>
      </c>
    </row>
    <row r="519" spans="1:13">
      <c r="B519">
        <v>1</v>
      </c>
      <c r="C519" s="34" t="s">
        <v>29</v>
      </c>
      <c r="D519" s="34"/>
      <c r="E519" s="58">
        <f>+L514</f>
        <v>190000</v>
      </c>
      <c r="H519">
        <v>1</v>
      </c>
      <c r="I519" s="34" t="s">
        <v>29</v>
      </c>
      <c r="L519" s="59">
        <f>+L514</f>
        <v>190000</v>
      </c>
    </row>
    <row r="520" spans="1:13">
      <c r="A520" s="60"/>
      <c r="C520" s="34"/>
      <c r="I520" s="34"/>
    </row>
    <row r="521" spans="1:13">
      <c r="G521" t="s">
        <v>10</v>
      </c>
    </row>
    <row r="522" spans="1:13">
      <c r="B522" s="61" t="s">
        <v>69</v>
      </c>
      <c r="C522" s="61"/>
      <c r="H522" s="62" t="s">
        <v>70</v>
      </c>
      <c r="I522" s="62"/>
      <c r="J522" s="62"/>
      <c r="K522" s="62"/>
      <c r="L522" s="62"/>
    </row>
    <row r="523" spans="1:13">
      <c r="H523" s="63"/>
      <c r="I523" s="63"/>
      <c r="J523" s="63"/>
      <c r="K523" s="63"/>
      <c r="L523" s="63"/>
    </row>
    <row r="524" spans="1:13">
      <c r="H524" s="63"/>
      <c r="I524" s="63"/>
      <c r="J524" s="63"/>
      <c r="K524" s="63"/>
      <c r="L524" s="63"/>
    </row>
    <row r="525" spans="1:13">
      <c r="H525" s="63"/>
      <c r="I525" s="63"/>
      <c r="J525" s="63"/>
      <c r="K525" s="63"/>
      <c r="L525" s="63"/>
    </row>
    <row r="527" spans="1:13">
      <c r="B527" s="61" t="s">
        <v>71</v>
      </c>
      <c r="C527" s="61"/>
      <c r="H527" s="62" t="str">
        <f>E466</f>
        <v>ANUGRAH</v>
      </c>
      <c r="I527" s="62"/>
      <c r="J527" s="62"/>
      <c r="K527" s="62"/>
      <c r="L527" s="62"/>
    </row>
  </sheetData>
  <mergeCells count="93">
    <mergeCell ref="A7:M7"/>
    <mergeCell ref="G10:I10"/>
    <mergeCell ref="H14:I14"/>
    <mergeCell ref="E15:I15"/>
    <mergeCell ref="B18:J18"/>
    <mergeCell ref="K18:L18"/>
    <mergeCell ref="B65:E65"/>
    <mergeCell ref="K66:M66"/>
    <mergeCell ref="B71:C71"/>
    <mergeCell ref="H71:L71"/>
    <mergeCell ref="B75:C75"/>
    <mergeCell ref="H75:L75"/>
    <mergeCell ref="A82:M82"/>
    <mergeCell ref="G85:I85"/>
    <mergeCell ref="H89:I89"/>
    <mergeCell ref="E90:I90"/>
    <mergeCell ref="B93:J93"/>
    <mergeCell ref="K93:L93"/>
    <mergeCell ref="B140:E140"/>
    <mergeCell ref="K141:M141"/>
    <mergeCell ref="B146:C146"/>
    <mergeCell ref="H146:L146"/>
    <mergeCell ref="B151:C151"/>
    <mergeCell ref="H151:L151"/>
    <mergeCell ref="A158:M158"/>
    <mergeCell ref="G161:I161"/>
    <mergeCell ref="H165:I165"/>
    <mergeCell ref="E166:I166"/>
    <mergeCell ref="B169:J169"/>
    <mergeCell ref="K169:L169"/>
    <mergeCell ref="B216:E216"/>
    <mergeCell ref="K217:M217"/>
    <mergeCell ref="B222:C222"/>
    <mergeCell ref="H222:L222"/>
    <mergeCell ref="A233:M233"/>
    <mergeCell ref="G236:I236"/>
    <mergeCell ref="H240:I240"/>
    <mergeCell ref="E241:I241"/>
    <mergeCell ref="B244:J244"/>
    <mergeCell ref="K244:L244"/>
    <mergeCell ref="B291:E291"/>
    <mergeCell ref="K292:M292"/>
    <mergeCell ref="B297:C297"/>
    <mergeCell ref="H297:L297"/>
    <mergeCell ref="B302:C302"/>
    <mergeCell ref="H302:L302"/>
    <mergeCell ref="A308:M308"/>
    <mergeCell ref="G311:I311"/>
    <mergeCell ref="H315:I315"/>
    <mergeCell ref="E316:I316"/>
    <mergeCell ref="B319:J319"/>
    <mergeCell ref="K319:L319"/>
    <mergeCell ref="B366:E366"/>
    <mergeCell ref="K367:M367"/>
    <mergeCell ref="B372:C372"/>
    <mergeCell ref="H372:L372"/>
    <mergeCell ref="B377:C377"/>
    <mergeCell ref="H377:L377"/>
    <mergeCell ref="A383:M383"/>
    <mergeCell ref="G386:I386"/>
    <mergeCell ref="H390:I390"/>
    <mergeCell ref="E391:I391"/>
    <mergeCell ref="B394:J394"/>
    <mergeCell ref="K394:L394"/>
    <mergeCell ref="B441:E441"/>
    <mergeCell ref="K442:M442"/>
    <mergeCell ref="B447:C447"/>
    <mergeCell ref="H447:L447"/>
    <mergeCell ref="B452:C452"/>
    <mergeCell ref="H452:L452"/>
    <mergeCell ref="A458:M458"/>
    <mergeCell ref="G461:I461"/>
    <mergeCell ref="H465:I465"/>
    <mergeCell ref="E466:I466"/>
    <mergeCell ref="B469:J469"/>
    <mergeCell ref="K469:L469"/>
    <mergeCell ref="B516:E516"/>
    <mergeCell ref="K517:M517"/>
    <mergeCell ref="B522:C522"/>
    <mergeCell ref="H522:L522"/>
    <mergeCell ref="B527:C527"/>
    <mergeCell ref="H527:L527"/>
    <mergeCell ref="E463:M464"/>
    <mergeCell ref="E388:M389"/>
    <mergeCell ref="C76:E77"/>
    <mergeCell ref="E163:M164"/>
    <mergeCell ref="C152:E153"/>
    <mergeCell ref="C1:E2"/>
    <mergeCell ref="E12:M13"/>
    <mergeCell ref="E87:M88"/>
    <mergeCell ref="E313:M314"/>
    <mergeCell ref="E238:M239"/>
    <mergeCell ref="C227:E228"/>
  </mergeCells>
  <pageMargins left="0.7" right="0.7" top="0.75" bottom="0.75" header="0.3" footer="0.3"/>
  <pageSetup paperSize="1" scale="60" orientation="portrait"/>
  <headerFooter/>
  <rowBreaks count="5" manualBreakCount="5">
    <brk id="76" max="16383" man="1"/>
    <brk id="152" max="16383" man="1"/>
    <brk id="303" max="12" man="1"/>
    <brk id="378" max="12" man="1"/>
    <brk id="454" max="1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3"/>
  <sheetViews>
    <sheetView view="pageBreakPreview" zoomScale="90" zoomScaleNormal="90" topLeftCell="A248" workbookViewId="0">
      <selection activeCell="I255" sqref="I255"/>
    </sheetView>
  </sheetViews>
  <sheetFormatPr defaultColWidth="9" defaultRowHeight="14.4"/>
  <cols>
    <col min="1" max="1" width="6.11111111111111" customWidth="1"/>
    <col min="2" max="2" width="3" customWidth="1"/>
    <col min="3" max="3" width="27.5555555555556" style="1" customWidth="1"/>
    <col min="4" max="4" width="3.11111111111111" customWidth="1"/>
    <col min="5" max="5" width="20.5555555555556" customWidth="1"/>
    <col min="6" max="6" width="15.4444444444444" customWidth="1"/>
    <col min="7" max="7" width="11.8888888888889" customWidth="1"/>
    <col min="8" max="8" width="5.55555555555556" customWidth="1"/>
    <col min="9" max="9" width="15.1111111111111" customWidth="1"/>
    <col min="10" max="10" width="9.44444444444444" customWidth="1"/>
    <col min="11" max="11" width="3.88888888888889" customWidth="1"/>
    <col min="12" max="12" width="12" customWidth="1"/>
    <col min="13" max="13" width="11.6666666666667" customWidth="1"/>
  </cols>
  <sheetData>
    <row r="1" ht="16.2" spans="1:17">
      <c r="A1" s="2"/>
      <c r="B1" s="3"/>
      <c r="C1" s="4"/>
      <c r="D1" s="4"/>
      <c r="E1" s="4"/>
      <c r="F1" s="2"/>
      <c r="G1" s="2"/>
      <c r="H1" s="2"/>
      <c r="I1" s="3"/>
      <c r="J1" s="3"/>
      <c r="K1" s="3"/>
      <c r="L1" s="3"/>
      <c r="M1" s="3"/>
    </row>
    <row r="2" ht="16.2" spans="1:17">
      <c r="A2" s="2"/>
      <c r="B2" s="5"/>
      <c r="C2" s="4"/>
      <c r="D2" s="4"/>
      <c r="E2" s="4"/>
      <c r="F2" s="2"/>
      <c r="G2" s="2"/>
      <c r="H2" s="2"/>
      <c r="I2" s="3"/>
      <c r="J2" s="3"/>
      <c r="K2" s="3"/>
      <c r="L2" s="3"/>
      <c r="M2" s="3"/>
    </row>
    <row r="3" ht="16.2" spans="1:17">
      <c r="A3" s="2"/>
      <c r="B3" s="5"/>
      <c r="C3" s="6"/>
      <c r="D3" s="3"/>
      <c r="E3" s="2"/>
      <c r="F3" s="2"/>
      <c r="G3" s="2"/>
      <c r="H3" s="2"/>
      <c r="I3" s="3"/>
      <c r="J3" s="3"/>
      <c r="K3" s="3"/>
      <c r="L3" s="3"/>
      <c r="M3" s="3"/>
    </row>
    <row r="4" ht="15.6" spans="1:17">
      <c r="A4" s="7"/>
      <c r="B4" s="8"/>
      <c r="C4" s="7"/>
      <c r="D4" s="9"/>
      <c r="E4" s="9"/>
      <c r="F4" s="10"/>
      <c r="G4" s="10"/>
      <c r="H4" s="9"/>
      <c r="I4" s="10"/>
      <c r="J4" s="10"/>
      <c r="K4" s="11"/>
      <c r="L4" s="7"/>
      <c r="M4" s="3"/>
    </row>
    <row r="5" ht="15.6" spans="1:17">
      <c r="A5" s="12"/>
      <c r="B5" s="13"/>
      <c r="C5" s="7"/>
      <c r="D5" s="9"/>
      <c r="E5" s="9"/>
      <c r="F5" s="10"/>
      <c r="G5" s="10"/>
      <c r="H5" s="9"/>
      <c r="I5" s="10"/>
      <c r="J5" s="10"/>
      <c r="K5" s="7"/>
      <c r="L5" s="73" t="s">
        <v>0</v>
      </c>
      <c r="M5" s="3"/>
    </row>
    <row r="6" ht="16.2" spans="1:17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 ht="15.6" spans="1:17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ht="15" spans="1:17">
      <c r="C9" s="1" t="s">
        <v>2</v>
      </c>
      <c r="D9" t="s">
        <v>3</v>
      </c>
      <c r="E9" s="15"/>
    </row>
    <row r="10" spans="1:17">
      <c r="C10" s="1" t="s">
        <v>4</v>
      </c>
      <c r="D10" t="s">
        <v>3</v>
      </c>
      <c r="E10" s="65">
        <v>46267</v>
      </c>
      <c r="F10" s="17" t="s">
        <v>5</v>
      </c>
      <c r="G10" s="66">
        <v>46269</v>
      </c>
      <c r="H10" s="66"/>
      <c r="I10" s="66"/>
    </row>
    <row r="11" ht="15" spans="1:17">
      <c r="C11" s="1" t="s">
        <v>6</v>
      </c>
      <c r="D11" t="s">
        <v>3</v>
      </c>
      <c r="E11" s="15" t="s">
        <v>87</v>
      </c>
    </row>
    <row r="12" ht="15" customHeight="1" spans="1:17">
      <c r="C12" s="19" t="s">
        <v>8</v>
      </c>
      <c r="D12" t="s">
        <v>3</v>
      </c>
      <c r="E12" s="20" t="s">
        <v>96</v>
      </c>
      <c r="F12" s="20"/>
      <c r="G12" s="20"/>
      <c r="H12" s="20"/>
      <c r="I12" s="20"/>
      <c r="J12" s="20"/>
      <c r="K12" s="20"/>
      <c r="L12" s="20"/>
      <c r="M12" s="20"/>
    </row>
    <row r="13" spans="1:17">
      <c r="C13"/>
      <c r="E13" s="20"/>
      <c r="F13" s="20"/>
      <c r="G13" s="20"/>
      <c r="H13" s="20"/>
      <c r="I13" s="20"/>
      <c r="J13" s="20"/>
      <c r="K13" s="20"/>
      <c r="L13" s="20"/>
      <c r="M13" s="20"/>
    </row>
    <row r="14" spans="1:17">
      <c r="C14" s="1" t="s">
        <v>11</v>
      </c>
      <c r="D14" t="s">
        <v>3</v>
      </c>
      <c r="E14" s="21" t="s">
        <v>12</v>
      </c>
      <c r="F14" s="16"/>
      <c r="G14" s="17"/>
      <c r="H14" s="18"/>
      <c r="I14" s="18"/>
      <c r="N14" s="21" t="s">
        <v>13</v>
      </c>
      <c r="O14" s="21" t="s">
        <v>14</v>
      </c>
      <c r="P14" s="21" t="s">
        <v>12</v>
      </c>
      <c r="Q14" s="21" t="s">
        <v>15</v>
      </c>
    </row>
    <row r="15" ht="15.6" spans="1:17">
      <c r="C15" s="1" t="s">
        <v>16</v>
      </c>
      <c r="D15" t="s">
        <v>3</v>
      </c>
      <c r="E15" s="22" t="s">
        <v>97</v>
      </c>
      <c r="F15" s="22"/>
      <c r="G15" s="22"/>
      <c r="H15" s="22"/>
      <c r="I15" s="22"/>
    </row>
    <row r="16" ht="15.6" spans="1:17">
      <c r="C16" s="1" t="s">
        <v>18</v>
      </c>
      <c r="D16" t="s">
        <v>3</v>
      </c>
      <c r="E16" s="23" t="s">
        <v>19</v>
      </c>
      <c r="F16" s="24"/>
    </row>
    <row r="17" spans="1:13">
      <c r="E17" s="24"/>
    </row>
    <row r="18" spans="1:13">
      <c r="A18" s="25" t="s">
        <v>20</v>
      </c>
      <c r="B18" s="26" t="s">
        <v>21</v>
      </c>
      <c r="C18" s="27"/>
      <c r="D18" s="27"/>
      <c r="E18" s="27"/>
      <c r="F18" s="27"/>
      <c r="G18" s="27"/>
      <c r="H18" s="27"/>
      <c r="I18" s="27"/>
      <c r="J18" s="28"/>
      <c r="K18" s="26" t="s">
        <v>22</v>
      </c>
      <c r="L18" s="28"/>
      <c r="M18" s="29" t="s">
        <v>23</v>
      </c>
    </row>
    <row r="19" spans="1:13">
      <c r="A19" s="30"/>
      <c r="K19" s="31"/>
      <c r="L19" s="32"/>
      <c r="M19" s="30"/>
    </row>
    <row r="20" spans="1:13">
      <c r="A20" s="33" t="s">
        <v>24</v>
      </c>
      <c r="B20" t="s">
        <v>25</v>
      </c>
      <c r="K20" s="31"/>
      <c r="L20" s="32"/>
      <c r="M20" s="30"/>
    </row>
    <row r="21" spans="1:13">
      <c r="A21" s="33"/>
      <c r="G21" t="s">
        <v>10</v>
      </c>
      <c r="K21" s="31"/>
      <c r="L21" s="32"/>
      <c r="M21" s="30"/>
    </row>
    <row r="22" spans="1:13">
      <c r="A22" s="33"/>
      <c r="B22" s="34">
        <v>1</v>
      </c>
      <c r="C22" s="34" t="s">
        <v>26</v>
      </c>
      <c r="K22" s="31"/>
      <c r="L22" s="32"/>
      <c r="M22" s="30"/>
    </row>
    <row r="23" spans="1:13">
      <c r="A23" s="33"/>
      <c r="B23" s="34"/>
      <c r="C23" s="1" t="s">
        <v>27</v>
      </c>
      <c r="G23">
        <v>0</v>
      </c>
      <c r="H23" s="1" t="s">
        <v>28</v>
      </c>
      <c r="I23" s="35">
        <v>0</v>
      </c>
      <c r="K23" s="31" t="s">
        <v>29</v>
      </c>
      <c r="L23" s="36">
        <f t="shared" ref="L23:L25" si="0">+I23*G23</f>
        <v>0</v>
      </c>
      <c r="M23" s="37"/>
    </row>
    <row r="24" spans="1:13">
      <c r="A24" s="33"/>
      <c r="B24" s="34"/>
      <c r="C24" s="1" t="s">
        <v>30</v>
      </c>
      <c r="G24">
        <v>0</v>
      </c>
      <c r="H24" t="s">
        <v>28</v>
      </c>
      <c r="I24" s="35">
        <v>0</v>
      </c>
      <c r="J24" s="38"/>
      <c r="K24" s="31" t="s">
        <v>29</v>
      </c>
      <c r="L24" s="36">
        <f t="shared" si="0"/>
        <v>0</v>
      </c>
      <c r="M24" s="39"/>
    </row>
    <row r="25" spans="1:13">
      <c r="A25" s="33"/>
      <c r="B25" s="34"/>
      <c r="C25" s="1" t="s">
        <v>31</v>
      </c>
      <c r="G25">
        <v>0</v>
      </c>
      <c r="H25" t="s">
        <v>28</v>
      </c>
      <c r="I25" s="35">
        <v>0</v>
      </c>
      <c r="K25" s="31" t="s">
        <v>29</v>
      </c>
      <c r="L25" s="36">
        <f t="shared" si="0"/>
        <v>0</v>
      </c>
      <c r="M25" s="37"/>
    </row>
    <row r="26" spans="1:13">
      <c r="A26" s="33"/>
      <c r="B26" s="34">
        <v>2</v>
      </c>
      <c r="C26" s="34" t="s">
        <v>32</v>
      </c>
      <c r="D26" s="34"/>
      <c r="K26" s="31"/>
      <c r="L26" s="40"/>
      <c r="M26" s="30"/>
    </row>
    <row r="27" spans="1:13">
      <c r="A27" s="33"/>
      <c r="B27" s="34"/>
      <c r="C27" s="1" t="s">
        <v>33</v>
      </c>
      <c r="D27" s="41"/>
      <c r="E27">
        <v>3</v>
      </c>
      <c r="F27" t="s">
        <v>34</v>
      </c>
      <c r="G27" s="38">
        <v>1</v>
      </c>
      <c r="H27" t="s">
        <v>28</v>
      </c>
      <c r="I27" s="42">
        <v>190000</v>
      </c>
      <c r="K27" s="31" t="s">
        <v>29</v>
      </c>
      <c r="L27" s="43">
        <f t="shared" ref="L27:L28" si="1">I27*G27*E27</f>
        <v>570000</v>
      </c>
      <c r="M27" s="37"/>
    </row>
    <row r="28" spans="1:13">
      <c r="A28" s="33"/>
      <c r="B28" s="34"/>
      <c r="C28" s="1" t="s">
        <v>35</v>
      </c>
      <c r="D28" s="41"/>
      <c r="E28">
        <v>2</v>
      </c>
      <c r="F28" t="s">
        <v>34</v>
      </c>
      <c r="G28" s="38">
        <v>1</v>
      </c>
      <c r="H28" t="str">
        <f t="shared" ref="H28" si="2">+H27</f>
        <v>x Rp.</v>
      </c>
      <c r="I28" s="42">
        <v>50000</v>
      </c>
      <c r="K28" s="31" t="str">
        <f t="shared" ref="K28" si="3">+K27</f>
        <v>Rp.</v>
      </c>
      <c r="L28" s="43">
        <f t="shared" si="1"/>
        <v>100000</v>
      </c>
      <c r="M28" s="37"/>
    </row>
    <row r="29" spans="1:13">
      <c r="A29" s="33"/>
      <c r="B29" s="34"/>
      <c r="C29" s="1" t="s">
        <v>36</v>
      </c>
      <c r="D29" s="41"/>
      <c r="E29">
        <v>0</v>
      </c>
      <c r="F29" t="s">
        <v>34</v>
      </c>
      <c r="G29" s="38">
        <v>1</v>
      </c>
      <c r="H29" t="str">
        <f t="shared" ref="H29:K29" si="4">+H28</f>
        <v>x Rp.</v>
      </c>
      <c r="I29" s="42">
        <v>250000</v>
      </c>
      <c r="K29" s="31" t="str">
        <f t="shared" si="4"/>
        <v>Rp.</v>
      </c>
      <c r="L29" s="43">
        <f t="shared" ref="L29" si="5">I29*G29*E29</f>
        <v>0</v>
      </c>
      <c r="M29" s="44"/>
    </row>
    <row r="30" spans="1:13">
      <c r="A30" s="33"/>
      <c r="B30" s="34">
        <v>3</v>
      </c>
      <c r="C30" s="34" t="s">
        <v>37</v>
      </c>
      <c r="D30" s="41"/>
      <c r="G30" s="38" t="s">
        <v>38</v>
      </c>
      <c r="I30" s="42"/>
      <c r="J30" s="1" t="s">
        <v>10</v>
      </c>
      <c r="K30" s="31"/>
      <c r="L30" s="40"/>
      <c r="M30" s="37"/>
    </row>
    <row r="31" spans="1:13">
      <c r="A31" s="33"/>
      <c r="B31" s="34"/>
      <c r="C31" s="1" t="s">
        <v>33</v>
      </c>
      <c r="D31" s="41"/>
      <c r="E31">
        <v>0</v>
      </c>
      <c r="F31" t="s">
        <v>34</v>
      </c>
      <c r="G31" s="38">
        <v>1</v>
      </c>
      <c r="H31" t="str">
        <f>+H29</f>
        <v>x Rp.</v>
      </c>
      <c r="I31" s="42">
        <v>0</v>
      </c>
      <c r="K31" s="31" t="s">
        <v>29</v>
      </c>
      <c r="L31" s="40">
        <f t="shared" ref="L31:L33" si="6">+E31*G31*I31</f>
        <v>0</v>
      </c>
      <c r="M31" s="39"/>
    </row>
    <row r="32" spans="1:13">
      <c r="A32" s="33"/>
      <c r="B32" s="34"/>
      <c r="C32" s="1" t="s">
        <v>35</v>
      </c>
      <c r="D32" s="41"/>
      <c r="E32">
        <v>0</v>
      </c>
      <c r="F32" t="s">
        <v>34</v>
      </c>
      <c r="G32" s="38">
        <v>1</v>
      </c>
      <c r="H32" t="str">
        <f t="shared" ref="H32" si="7">+H31</f>
        <v>x Rp.</v>
      </c>
      <c r="I32" s="42">
        <v>0</v>
      </c>
      <c r="K32" s="31" t="str">
        <f t="shared" ref="K32" si="8">+K31</f>
        <v>Rp.</v>
      </c>
      <c r="L32" s="40">
        <f t="shared" si="6"/>
        <v>0</v>
      </c>
      <c r="M32" s="37"/>
    </row>
    <row r="33" spans="1:13">
      <c r="A33" s="33"/>
      <c r="B33" s="34"/>
      <c r="C33" s="1" t="s">
        <v>36</v>
      </c>
      <c r="D33" s="41"/>
      <c r="E33">
        <v>0</v>
      </c>
      <c r="F33" t="s">
        <v>34</v>
      </c>
      <c r="G33" s="38">
        <v>1</v>
      </c>
      <c r="H33" t="s">
        <v>28</v>
      </c>
      <c r="I33" s="42">
        <v>0</v>
      </c>
      <c r="K33" s="31" t="s">
        <v>29</v>
      </c>
      <c r="L33" s="40">
        <f t="shared" si="6"/>
        <v>0</v>
      </c>
      <c r="M33" s="30"/>
    </row>
    <row r="34" spans="1:13">
      <c r="A34" s="33"/>
      <c r="B34" s="34">
        <v>4</v>
      </c>
      <c r="C34" s="34" t="s">
        <v>39</v>
      </c>
      <c r="D34" s="41"/>
      <c r="G34" s="38" t="s">
        <v>38</v>
      </c>
      <c r="I34" s="42"/>
      <c r="J34" s="1" t="s">
        <v>10</v>
      </c>
      <c r="K34" s="31"/>
      <c r="L34" s="40"/>
      <c r="M34" s="37"/>
    </row>
    <row r="35" spans="1:13">
      <c r="A35" s="33"/>
      <c r="B35" s="34"/>
      <c r="C35" s="1" t="s">
        <v>40</v>
      </c>
      <c r="D35" s="41"/>
      <c r="E35">
        <v>0</v>
      </c>
      <c r="F35" t="s">
        <v>34</v>
      </c>
      <c r="G35" s="38">
        <v>1</v>
      </c>
      <c r="H35" t="str">
        <f>+H36</f>
        <v>x Rp.</v>
      </c>
      <c r="I35" s="42">
        <v>0</v>
      </c>
      <c r="K35" s="31" t="str">
        <f>+K33</f>
        <v>Rp.</v>
      </c>
      <c r="L35" s="40">
        <f t="shared" ref="L35:L37" si="9">+E35*G35*I35</f>
        <v>0</v>
      </c>
      <c r="M35" s="45"/>
    </row>
    <row r="36" spans="1:13">
      <c r="A36" s="33"/>
      <c r="B36" s="34"/>
      <c r="C36" s="1" t="s">
        <v>41</v>
      </c>
      <c r="D36" s="41"/>
      <c r="E36">
        <v>0</v>
      </c>
      <c r="F36" t="s">
        <v>34</v>
      </c>
      <c r="G36" s="38">
        <v>1</v>
      </c>
      <c r="H36" t="str">
        <f>+H33</f>
        <v>x Rp.</v>
      </c>
      <c r="I36" s="42">
        <v>0</v>
      </c>
      <c r="K36" s="31" t="str">
        <f t="shared" ref="K36:K41" si="10">+K35</f>
        <v>Rp.</v>
      </c>
      <c r="L36" s="40">
        <f t="shared" si="9"/>
        <v>0</v>
      </c>
      <c r="M36" s="39"/>
    </row>
    <row r="37" spans="1:13">
      <c r="A37" s="33"/>
      <c r="B37" s="34"/>
      <c r="C37" s="1" t="s">
        <v>42</v>
      </c>
      <c r="D37" s="41"/>
      <c r="E37">
        <v>0</v>
      </c>
      <c r="F37" t="s">
        <v>34</v>
      </c>
      <c r="G37" s="38">
        <v>1</v>
      </c>
      <c r="H37" t="str">
        <f t="shared" ref="H37:K37" si="11">+H36</f>
        <v>x Rp.</v>
      </c>
      <c r="I37" s="42">
        <v>0</v>
      </c>
      <c r="K37" s="31" t="str">
        <f t="shared" si="11"/>
        <v>Rp.</v>
      </c>
      <c r="L37" s="40">
        <f t="shared" si="9"/>
        <v>0</v>
      </c>
      <c r="M37" s="37"/>
    </row>
    <row r="38" spans="1:13">
      <c r="A38" s="33"/>
      <c r="B38" s="34">
        <v>5</v>
      </c>
      <c r="C38" s="34" t="s">
        <v>43</v>
      </c>
      <c r="D38" s="41"/>
      <c r="G38" s="38" t="s">
        <v>38</v>
      </c>
      <c r="I38" s="42"/>
      <c r="J38" s="1" t="s">
        <v>10</v>
      </c>
      <c r="K38" s="31"/>
      <c r="L38" s="40"/>
      <c r="M38" s="37"/>
    </row>
    <row r="39" spans="1:13">
      <c r="A39" s="33"/>
      <c r="B39" s="34"/>
      <c r="C39" s="1" t="s">
        <v>44</v>
      </c>
      <c r="D39" s="41"/>
      <c r="E39">
        <v>0</v>
      </c>
      <c r="F39" t="str">
        <f>+F40</f>
        <v>hari x</v>
      </c>
      <c r="G39" s="38">
        <v>1</v>
      </c>
      <c r="H39" t="str">
        <f>+H40</f>
        <v>x Rp.</v>
      </c>
      <c r="I39" s="42">
        <v>0</v>
      </c>
      <c r="K39" s="31" t="str">
        <f>+K37</f>
        <v>Rp.</v>
      </c>
      <c r="L39" s="40">
        <f t="shared" ref="L39:L41" si="12">+E39*G39*I39</f>
        <v>0</v>
      </c>
      <c r="M39" s="45"/>
    </row>
    <row r="40" spans="1:13">
      <c r="A40" s="33"/>
      <c r="B40" s="34"/>
      <c r="C40" s="1" t="s">
        <v>45</v>
      </c>
      <c r="D40" s="41"/>
      <c r="E40">
        <v>0</v>
      </c>
      <c r="F40" t="str">
        <f>+F37</f>
        <v>hari x</v>
      </c>
      <c r="G40" s="38">
        <v>1</v>
      </c>
      <c r="H40" t="str">
        <f>+H37</f>
        <v>x Rp.</v>
      </c>
      <c r="I40" s="42">
        <v>0</v>
      </c>
      <c r="K40" s="31" t="str">
        <f t="shared" si="10"/>
        <v>Rp.</v>
      </c>
      <c r="L40" s="40">
        <f t="shared" si="12"/>
        <v>0</v>
      </c>
      <c r="M40" s="39"/>
    </row>
    <row r="41" spans="1:13">
      <c r="A41" s="33"/>
      <c r="B41" s="34">
        <v>6</v>
      </c>
      <c r="C41" s="34" t="s">
        <v>46</v>
      </c>
      <c r="D41" s="41"/>
      <c r="E41">
        <v>0</v>
      </c>
      <c r="F41" t="s">
        <v>47</v>
      </c>
      <c r="G41" s="38">
        <v>1</v>
      </c>
      <c r="H41" t="str">
        <f>+H39</f>
        <v>x Rp.</v>
      </c>
      <c r="I41" s="42">
        <v>0</v>
      </c>
      <c r="K41" s="31" t="str">
        <f t="shared" si="10"/>
        <v>Rp.</v>
      </c>
      <c r="L41" s="40">
        <f t="shared" si="12"/>
        <v>0</v>
      </c>
      <c r="M41" s="37"/>
    </row>
    <row r="42" spans="1:13">
      <c r="A42" s="33"/>
      <c r="B42" s="34"/>
      <c r="D42" s="41"/>
      <c r="G42" s="38"/>
      <c r="I42" s="42"/>
      <c r="K42" s="31"/>
      <c r="L42" s="40"/>
      <c r="M42" s="30"/>
    </row>
    <row r="43" spans="1:13">
      <c r="A43" s="33"/>
      <c r="C43" s="1" t="s">
        <v>10</v>
      </c>
      <c r="D43" t="s">
        <v>10</v>
      </c>
      <c r="K43" s="31"/>
      <c r="L43" s="40"/>
      <c r="M43" s="30"/>
    </row>
    <row r="44" spans="1:13">
      <c r="A44" s="33"/>
      <c r="B44" s="34" t="s">
        <v>48</v>
      </c>
      <c r="E44" t="s">
        <v>10</v>
      </c>
      <c r="K44" s="31" t="s">
        <v>29</v>
      </c>
      <c r="L44" s="46">
        <f>SUM(L23:L41)</f>
        <v>670000</v>
      </c>
      <c r="M44" s="30"/>
    </row>
    <row r="45" spans="1:13">
      <c r="A45" s="33"/>
      <c r="D45" t="s">
        <v>10</v>
      </c>
      <c r="E45" t="s">
        <v>10</v>
      </c>
      <c r="J45" t="s">
        <v>10</v>
      </c>
      <c r="K45" s="31" t="s">
        <v>10</v>
      </c>
      <c r="L45" s="40"/>
      <c r="M45" s="30"/>
    </row>
    <row r="46" spans="1:13">
      <c r="A46" s="33" t="s">
        <v>49</v>
      </c>
      <c r="B46" s="34" t="s">
        <v>50</v>
      </c>
      <c r="K46" s="31"/>
      <c r="L46" s="40"/>
      <c r="M46" s="30"/>
    </row>
    <row r="47" spans="1:13">
      <c r="A47" s="33"/>
      <c r="B47" s="34">
        <v>1</v>
      </c>
      <c r="C47" s="34" t="s">
        <v>51</v>
      </c>
      <c r="K47" s="31"/>
      <c r="L47" s="40"/>
      <c r="M47" s="30"/>
    </row>
    <row r="48" spans="1:13">
      <c r="A48" s="33"/>
      <c r="C48" s="1" t="s">
        <v>52</v>
      </c>
      <c r="K48" s="31" t="s">
        <v>29</v>
      </c>
      <c r="L48" s="40">
        <v>0</v>
      </c>
      <c r="M48" s="30"/>
    </row>
    <row r="49" spans="1:13">
      <c r="A49" s="33"/>
      <c r="C49" s="1" t="s">
        <v>53</v>
      </c>
      <c r="K49" s="31" t="s">
        <v>29</v>
      </c>
      <c r="L49" s="40">
        <v>0</v>
      </c>
      <c r="M49" s="30"/>
    </row>
    <row r="50" spans="1:13">
      <c r="A50" s="33"/>
      <c r="C50" s="1" t="s">
        <v>54</v>
      </c>
      <c r="K50" s="31" t="s">
        <v>29</v>
      </c>
      <c r="L50" s="40">
        <v>0</v>
      </c>
      <c r="M50" s="30"/>
    </row>
    <row r="51" spans="1:13">
      <c r="A51" s="33"/>
      <c r="K51" s="31" t="s">
        <v>29</v>
      </c>
      <c r="L51" s="40">
        <v>0</v>
      </c>
      <c r="M51" s="30"/>
    </row>
    <row r="52" spans="1:13">
      <c r="A52" s="33"/>
      <c r="B52" s="34">
        <v>2</v>
      </c>
      <c r="C52" s="34" t="s">
        <v>55</v>
      </c>
      <c r="K52" s="31"/>
      <c r="L52" s="40"/>
      <c r="M52" s="30"/>
    </row>
    <row r="53" spans="1:13">
      <c r="A53" s="33"/>
      <c r="C53" s="1" t="s">
        <v>56</v>
      </c>
      <c r="D53" t="s">
        <v>57</v>
      </c>
      <c r="E53" t="s">
        <v>58</v>
      </c>
      <c r="F53" t="s">
        <v>34</v>
      </c>
      <c r="H53" t="s">
        <v>59</v>
      </c>
      <c r="I53" t="s">
        <v>60</v>
      </c>
      <c r="K53" s="31" t="s">
        <v>29</v>
      </c>
      <c r="L53" s="40">
        <v>0</v>
      </c>
      <c r="M53" s="30"/>
    </row>
    <row r="54" spans="1:13">
      <c r="A54" s="33"/>
      <c r="C54" s="1" t="s">
        <v>61</v>
      </c>
      <c r="K54" s="31"/>
      <c r="L54" s="40"/>
      <c r="M54" s="30"/>
    </row>
    <row r="55" spans="1:13">
      <c r="A55" s="33"/>
      <c r="B55" s="34">
        <v>3</v>
      </c>
      <c r="C55" s="1" t="s">
        <v>62</v>
      </c>
      <c r="K55" s="31"/>
      <c r="L55" s="40"/>
      <c r="M55" s="30"/>
    </row>
    <row r="56" spans="1:13">
      <c r="A56" s="33"/>
      <c r="B56" s="34"/>
      <c r="C56" s="1" t="s">
        <v>40</v>
      </c>
      <c r="E56">
        <v>0</v>
      </c>
      <c r="F56" t="str">
        <f>+F39</f>
        <v>hari x</v>
      </c>
      <c r="G56" s="38">
        <v>1</v>
      </c>
      <c r="H56">
        <f>+H57</f>
        <v>0</v>
      </c>
      <c r="I56" s="42">
        <v>0</v>
      </c>
      <c r="K56" s="31" t="str">
        <f>+K53</f>
        <v>Rp.</v>
      </c>
      <c r="L56" s="40">
        <f t="shared" ref="L56:L58" si="13">+E56*G56*I56</f>
        <v>0</v>
      </c>
      <c r="M56" s="30"/>
    </row>
    <row r="57" spans="1:13">
      <c r="A57" s="33"/>
      <c r="B57" s="34"/>
      <c r="C57" s="1" t="s">
        <v>41</v>
      </c>
      <c r="E57">
        <v>0</v>
      </c>
      <c r="F57" t="str">
        <f>+F56</f>
        <v>hari x</v>
      </c>
      <c r="G57" s="38">
        <v>1</v>
      </c>
      <c r="H57">
        <f>+H54</f>
        <v>0</v>
      </c>
      <c r="I57" s="42">
        <v>0</v>
      </c>
      <c r="K57" s="31" t="str">
        <f>+K56</f>
        <v>Rp.</v>
      </c>
      <c r="L57" s="40">
        <f t="shared" si="13"/>
        <v>0</v>
      </c>
      <c r="M57" s="30"/>
    </row>
    <row r="58" spans="1:13">
      <c r="A58" s="33"/>
      <c r="B58" s="34"/>
      <c r="C58" s="1" t="s">
        <v>42</v>
      </c>
      <c r="E58">
        <v>0</v>
      </c>
      <c r="F58" t="str">
        <f t="shared" ref="F58:K58" si="14">+F57</f>
        <v>hari x</v>
      </c>
      <c r="G58" s="38">
        <v>0.5</v>
      </c>
      <c r="H58">
        <f t="shared" si="14"/>
        <v>0</v>
      </c>
      <c r="I58" s="42">
        <v>0</v>
      </c>
      <c r="K58" s="31" t="str">
        <f t="shared" si="14"/>
        <v>Rp.</v>
      </c>
      <c r="L58" s="40">
        <f t="shared" si="13"/>
        <v>0</v>
      </c>
      <c r="M58" s="30"/>
    </row>
    <row r="59" spans="1:13">
      <c r="A59" s="33"/>
      <c r="B59">
        <v>4</v>
      </c>
      <c r="C59" s="1" t="s">
        <v>63</v>
      </c>
      <c r="G59" s="41"/>
      <c r="I59" s="1" t="s">
        <v>10</v>
      </c>
      <c r="K59" s="31"/>
      <c r="L59" s="40"/>
      <c r="M59" s="30"/>
    </row>
    <row r="60" spans="1:13">
      <c r="A60" s="33"/>
      <c r="K60" s="31"/>
      <c r="L60" s="40"/>
      <c r="M60" s="30"/>
    </row>
    <row r="61" spans="1:13">
      <c r="A61" s="33"/>
      <c r="B61" s="34" t="s">
        <v>64</v>
      </c>
      <c r="C61" s="34"/>
      <c r="K61" s="31" t="s">
        <v>29</v>
      </c>
      <c r="L61" s="46">
        <f>SUM(L48:L60)</f>
        <v>0</v>
      </c>
      <c r="M61" s="30"/>
    </row>
    <row r="62" spans="1:13">
      <c r="A62" s="33"/>
      <c r="K62" s="31"/>
      <c r="L62" s="40"/>
      <c r="M62" s="30"/>
    </row>
    <row r="63" ht="15.15" spans="1:13">
      <c r="A63" s="33" t="s">
        <v>65</v>
      </c>
      <c r="B63" s="34" t="s">
        <v>66</v>
      </c>
      <c r="C63" s="34"/>
      <c r="K63" s="31" t="s">
        <v>29</v>
      </c>
      <c r="L63" s="46">
        <f>L61+L44</f>
        <v>670000</v>
      </c>
      <c r="M63" s="47"/>
    </row>
    <row r="64" spans="1:13">
      <c r="A64" s="30"/>
      <c r="G64" t="s">
        <v>10</v>
      </c>
      <c r="K64" s="48"/>
      <c r="L64" s="49"/>
      <c r="M64" s="47"/>
    </row>
    <row r="65" spans="1:13">
      <c r="A65" s="50"/>
      <c r="B65" s="51"/>
      <c r="C65" s="52"/>
      <c r="D65" s="52"/>
      <c r="E65" s="52"/>
      <c r="F65" s="53"/>
      <c r="G65" s="53"/>
      <c r="H65" s="53"/>
      <c r="I65" s="53"/>
      <c r="J65" s="54"/>
      <c r="K65" s="55"/>
      <c r="L65" s="54"/>
      <c r="M65" s="56"/>
    </row>
    <row r="66" spans="1:13">
      <c r="B66" t="s">
        <v>10</v>
      </c>
      <c r="K66" s="57"/>
      <c r="L66" s="57"/>
      <c r="M66" s="57"/>
    </row>
    <row r="67" spans="1:13">
      <c r="A67" t="s">
        <v>67</v>
      </c>
      <c r="H67" t="s">
        <v>68</v>
      </c>
    </row>
    <row r="68" spans="1:13">
      <c r="C68" s="34" t="s">
        <v>29</v>
      </c>
      <c r="D68" s="34"/>
      <c r="E68" s="58">
        <f>+L63</f>
        <v>670000</v>
      </c>
      <c r="I68" s="34" t="s">
        <v>29</v>
      </c>
      <c r="L68" s="59">
        <f>+L63</f>
        <v>670000</v>
      </c>
    </row>
    <row r="69" spans="1:13">
      <c r="A69" s="60"/>
      <c r="C69" s="34"/>
      <c r="I69" s="34"/>
    </row>
    <row r="70" spans="1:13">
      <c r="G70" t="s">
        <v>10</v>
      </c>
    </row>
    <row r="71" spans="1:13">
      <c r="B71" s="61" t="s">
        <v>69</v>
      </c>
      <c r="C71" s="61"/>
      <c r="H71" s="62" t="s">
        <v>70</v>
      </c>
      <c r="I71" s="62"/>
      <c r="J71" s="62"/>
      <c r="K71" s="62"/>
      <c r="L71" s="62"/>
    </row>
    <row r="72" spans="1:13">
      <c r="H72" s="63"/>
      <c r="I72" s="63"/>
      <c r="J72" s="63"/>
      <c r="K72" s="63"/>
      <c r="L72" s="63"/>
    </row>
    <row r="73" spans="1:13">
      <c r="H73" s="63"/>
      <c r="I73" s="63"/>
      <c r="J73" s="63"/>
      <c r="K73" s="63"/>
      <c r="L73" s="63"/>
    </row>
    <row r="74" spans="1:13">
      <c r="H74" s="63"/>
      <c r="I74" s="63"/>
      <c r="J74" s="63"/>
      <c r="K74" s="63"/>
      <c r="L74" s="63"/>
    </row>
    <row r="75" spans="1:13">
      <c r="B75" s="61" t="s">
        <v>71</v>
      </c>
      <c r="C75" s="61"/>
      <c r="H75" s="62" t="str">
        <f>E15</f>
        <v>MUHAMMAD ADLIM</v>
      </c>
      <c r="I75" s="62"/>
      <c r="J75" s="62"/>
      <c r="K75" s="62"/>
      <c r="L75" s="62"/>
    </row>
    <row r="76" ht="16.2" spans="1:13">
      <c r="A76" s="2"/>
      <c r="B76" s="3"/>
      <c r="C76" s="4"/>
      <c r="D76" s="4"/>
      <c r="E76" s="4"/>
      <c r="F76" s="2"/>
      <c r="G76" s="2"/>
      <c r="H76" s="2"/>
      <c r="I76" s="3"/>
      <c r="J76" s="3"/>
      <c r="K76" s="3"/>
      <c r="L76" s="3"/>
      <c r="M76" s="3"/>
    </row>
    <row r="77" ht="16.2" spans="1:13">
      <c r="A77" s="2"/>
      <c r="B77" s="5"/>
      <c r="C77" s="4"/>
      <c r="D77" s="4"/>
      <c r="E77" s="4"/>
      <c r="F77" s="2"/>
      <c r="G77" s="2"/>
      <c r="H77" s="2"/>
      <c r="I77" s="3"/>
      <c r="J77" s="3"/>
      <c r="K77" s="3"/>
      <c r="L77" s="3"/>
      <c r="M77" s="3"/>
    </row>
    <row r="78" ht="16.2" spans="1:13">
      <c r="A78" s="2"/>
      <c r="B78" s="5"/>
      <c r="C78" s="6"/>
      <c r="D78" s="3"/>
      <c r="E78" s="2"/>
      <c r="F78" s="2"/>
      <c r="G78" s="2"/>
      <c r="H78" s="2"/>
      <c r="I78" s="3"/>
      <c r="J78" s="3"/>
      <c r="K78" s="3"/>
      <c r="L78" s="3"/>
      <c r="M78" s="3"/>
    </row>
    <row r="79" ht="15.6" spans="1:13">
      <c r="A79" s="7"/>
      <c r="B79" s="8"/>
      <c r="C79" s="7"/>
      <c r="D79" s="9"/>
      <c r="E79" s="9"/>
      <c r="F79" s="10"/>
      <c r="G79" s="10"/>
      <c r="H79" s="9"/>
      <c r="I79" s="10"/>
      <c r="J79" s="10"/>
      <c r="K79" s="11"/>
      <c r="L79" s="7"/>
      <c r="M79" s="3"/>
    </row>
    <row r="80" ht="15.6" spans="1:13">
      <c r="A80" s="12"/>
      <c r="B80" s="13"/>
      <c r="C80" s="7"/>
      <c r="D80" s="9"/>
      <c r="E80" s="9"/>
      <c r="F80" s="10"/>
      <c r="G80" s="10"/>
      <c r="H80" s="9"/>
      <c r="I80" s="10"/>
      <c r="J80" s="10"/>
      <c r="K80" s="7"/>
      <c r="L80" s="73" t="s">
        <v>0</v>
      </c>
      <c r="M80" s="3"/>
    </row>
    <row r="81" ht="16.2" spans="1:17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</row>
    <row r="82" ht="15.6" spans="1:17">
      <c r="A82" s="14" t="s">
        <v>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4" ht="15" spans="1:17">
      <c r="C84" s="1" t="s">
        <v>2</v>
      </c>
      <c r="D84" t="s">
        <v>3</v>
      </c>
      <c r="E84" s="15"/>
    </row>
    <row r="85" spans="1:17">
      <c r="C85" s="1" t="s">
        <v>4</v>
      </c>
      <c r="D85" t="s">
        <v>3</v>
      </c>
      <c r="E85" s="65">
        <v>46277</v>
      </c>
      <c r="F85" s="17" t="s">
        <v>5</v>
      </c>
      <c r="G85" s="66">
        <v>46277</v>
      </c>
      <c r="H85" s="66"/>
      <c r="I85" s="66"/>
    </row>
    <row r="86" ht="15" spans="1:17">
      <c r="C86" s="1" t="s">
        <v>6</v>
      </c>
      <c r="D86" t="s">
        <v>3</v>
      </c>
      <c r="E86" s="15" t="s">
        <v>87</v>
      </c>
    </row>
    <row r="87" ht="15" customHeight="1" spans="1:17">
      <c r="C87" s="19" t="s">
        <v>8</v>
      </c>
      <c r="D87" t="s">
        <v>3</v>
      </c>
      <c r="E87" s="20" t="s">
        <v>98</v>
      </c>
      <c r="F87" s="20"/>
      <c r="G87" s="20"/>
      <c r="H87" s="20"/>
      <c r="I87" s="20"/>
      <c r="J87" s="20"/>
      <c r="K87" s="20"/>
      <c r="L87" s="20"/>
      <c r="M87" s="20"/>
    </row>
    <row r="88" spans="1:17">
      <c r="C88"/>
      <c r="E88" s="20"/>
      <c r="F88" s="20"/>
      <c r="G88" s="20"/>
      <c r="H88" s="20"/>
      <c r="I88" s="20"/>
      <c r="J88" s="20"/>
      <c r="K88" s="20"/>
      <c r="L88" s="20"/>
      <c r="M88" s="20"/>
    </row>
    <row r="89" spans="1:17">
      <c r="C89" s="1" t="s">
        <v>11</v>
      </c>
      <c r="D89" t="s">
        <v>3</v>
      </c>
      <c r="E89" s="21" t="s">
        <v>13</v>
      </c>
      <c r="F89" s="16"/>
      <c r="G89" s="17"/>
      <c r="H89" s="18"/>
      <c r="I89" s="18"/>
      <c r="N89" s="21" t="s">
        <v>13</v>
      </c>
      <c r="O89" s="21" t="s">
        <v>14</v>
      </c>
      <c r="P89" s="21" t="s">
        <v>12</v>
      </c>
      <c r="Q89" s="21" t="s">
        <v>15</v>
      </c>
    </row>
    <row r="90" ht="15.6" spans="1:17">
      <c r="C90" s="1" t="s">
        <v>16</v>
      </c>
      <c r="D90" t="s">
        <v>3</v>
      </c>
      <c r="E90" s="22" t="s">
        <v>99</v>
      </c>
      <c r="F90" s="22"/>
      <c r="G90" s="22"/>
      <c r="H90" s="22"/>
      <c r="I90" s="22"/>
    </row>
    <row r="91" ht="15.6" spans="1:17">
      <c r="C91" s="1" t="s">
        <v>18</v>
      </c>
      <c r="D91" t="s">
        <v>3</v>
      </c>
      <c r="E91" s="23" t="s">
        <v>19</v>
      </c>
      <c r="F91" s="24"/>
    </row>
    <row r="92" spans="1:17">
      <c r="E92" s="24"/>
    </row>
    <row r="93" spans="1:17">
      <c r="A93" s="25" t="s">
        <v>20</v>
      </c>
      <c r="B93" s="26" t="s">
        <v>21</v>
      </c>
      <c r="C93" s="27"/>
      <c r="D93" s="27"/>
      <c r="E93" s="27"/>
      <c r="F93" s="27"/>
      <c r="G93" s="27"/>
      <c r="H93" s="27"/>
      <c r="I93" s="27"/>
      <c r="J93" s="28"/>
      <c r="K93" s="26" t="s">
        <v>22</v>
      </c>
      <c r="L93" s="28"/>
      <c r="M93" s="29" t="s">
        <v>23</v>
      </c>
    </row>
    <row r="94" spans="1:17">
      <c r="A94" s="30"/>
      <c r="K94" s="31"/>
      <c r="L94" s="32"/>
      <c r="M94" s="30"/>
    </row>
    <row r="95" spans="1:17">
      <c r="A95" s="33" t="s">
        <v>24</v>
      </c>
      <c r="B95" t="s">
        <v>25</v>
      </c>
      <c r="K95" s="31"/>
      <c r="L95" s="32"/>
      <c r="M95" s="30"/>
    </row>
    <row r="96" spans="1:17">
      <c r="A96" s="33"/>
      <c r="K96" s="31"/>
      <c r="L96" s="32"/>
      <c r="M96" s="30"/>
    </row>
    <row r="97" spans="1:13">
      <c r="A97" s="33"/>
      <c r="B97" s="34">
        <v>1</v>
      </c>
      <c r="C97" s="34" t="s">
        <v>26</v>
      </c>
      <c r="K97" s="31"/>
      <c r="L97" s="32"/>
      <c r="M97" s="30"/>
    </row>
    <row r="98" spans="1:13">
      <c r="A98" s="33"/>
      <c r="B98" s="34"/>
      <c r="C98" s="1" t="s">
        <v>27</v>
      </c>
      <c r="G98">
        <v>0</v>
      </c>
      <c r="H98" s="1" t="s">
        <v>28</v>
      </c>
      <c r="I98" s="35">
        <v>0</v>
      </c>
      <c r="K98" s="31" t="s">
        <v>29</v>
      </c>
      <c r="L98" s="36">
        <f t="shared" ref="L98:L100" si="15">+I98*G98</f>
        <v>0</v>
      </c>
      <c r="M98" s="37"/>
    </row>
    <row r="99" spans="1:13">
      <c r="A99" s="33"/>
      <c r="B99" s="34"/>
      <c r="C99" s="1" t="s">
        <v>30</v>
      </c>
      <c r="G99">
        <v>0</v>
      </c>
      <c r="H99" t="s">
        <v>28</v>
      </c>
      <c r="I99" s="35">
        <v>0</v>
      </c>
      <c r="J99" s="38"/>
      <c r="K99" s="31" t="s">
        <v>29</v>
      </c>
      <c r="L99" s="36">
        <f t="shared" si="15"/>
        <v>0</v>
      </c>
      <c r="M99" s="39"/>
    </row>
    <row r="100" spans="1:13">
      <c r="A100" s="33"/>
      <c r="B100" s="34"/>
      <c r="C100" s="1" t="s">
        <v>31</v>
      </c>
      <c r="G100">
        <v>0</v>
      </c>
      <c r="H100" t="s">
        <v>28</v>
      </c>
      <c r="I100" s="35">
        <v>0</v>
      </c>
      <c r="K100" s="31" t="s">
        <v>29</v>
      </c>
      <c r="L100" s="36">
        <f t="shared" si="15"/>
        <v>0</v>
      </c>
      <c r="M100" s="37"/>
    </row>
    <row r="101" spans="1:13">
      <c r="A101" s="33"/>
      <c r="B101" s="34">
        <v>2</v>
      </c>
      <c r="C101" s="34" t="s">
        <v>32</v>
      </c>
      <c r="D101" s="34"/>
      <c r="K101" s="31"/>
      <c r="L101" s="40"/>
      <c r="M101" s="30"/>
    </row>
    <row r="102" spans="1:13">
      <c r="A102" s="33"/>
      <c r="B102" s="34"/>
      <c r="C102" s="1" t="s">
        <v>33</v>
      </c>
      <c r="D102" s="41"/>
      <c r="E102">
        <v>1</v>
      </c>
      <c r="F102" t="s">
        <v>34</v>
      </c>
      <c r="G102" s="38">
        <v>1</v>
      </c>
      <c r="H102" t="s">
        <v>28</v>
      </c>
      <c r="I102" s="42">
        <v>190000</v>
      </c>
      <c r="K102" s="31" t="s">
        <v>29</v>
      </c>
      <c r="L102" s="43">
        <f t="shared" ref="L102:L104" si="16">I102*G102*E102</f>
        <v>190000</v>
      </c>
      <c r="M102" s="37"/>
    </row>
    <row r="103" spans="1:13">
      <c r="A103" s="33"/>
      <c r="B103" s="34"/>
      <c r="C103" s="1" t="s">
        <v>35</v>
      </c>
      <c r="D103" s="41"/>
      <c r="E103">
        <v>0</v>
      </c>
      <c r="F103" t="s">
        <v>34</v>
      </c>
      <c r="G103" s="38">
        <v>1</v>
      </c>
      <c r="H103" t="str">
        <f t="shared" ref="H103:H104" si="17">+H102</f>
        <v>x Rp.</v>
      </c>
      <c r="I103" s="42">
        <v>50000</v>
      </c>
      <c r="K103" s="31" t="str">
        <f t="shared" ref="K103:K104" si="18">+K102</f>
        <v>Rp.</v>
      </c>
      <c r="L103" s="43">
        <f t="shared" si="16"/>
        <v>0</v>
      </c>
      <c r="M103" s="37"/>
    </row>
    <row r="104" spans="1:13">
      <c r="A104" s="33"/>
      <c r="B104" s="34"/>
      <c r="C104" s="1" t="s">
        <v>36</v>
      </c>
      <c r="D104" s="41"/>
      <c r="E104">
        <v>0</v>
      </c>
      <c r="F104" t="s">
        <v>34</v>
      </c>
      <c r="G104" s="38">
        <v>1</v>
      </c>
      <c r="H104" t="str">
        <f t="shared" si="17"/>
        <v>x Rp.</v>
      </c>
      <c r="I104" s="42">
        <v>250000</v>
      </c>
      <c r="K104" s="31" t="str">
        <f t="shared" si="18"/>
        <v>Rp.</v>
      </c>
      <c r="L104" s="43">
        <f t="shared" si="16"/>
        <v>0</v>
      </c>
      <c r="M104" s="44"/>
    </row>
    <row r="105" spans="1:13">
      <c r="A105" s="33"/>
      <c r="B105" s="34">
        <v>3</v>
      </c>
      <c r="C105" s="34" t="s">
        <v>37</v>
      </c>
      <c r="D105" s="41"/>
      <c r="G105" s="38" t="s">
        <v>38</v>
      </c>
      <c r="I105" s="42"/>
      <c r="J105" s="1" t="s">
        <v>10</v>
      </c>
      <c r="K105" s="31"/>
      <c r="L105" s="40"/>
      <c r="M105" s="37"/>
    </row>
    <row r="106" spans="1:13">
      <c r="A106" s="33"/>
      <c r="B106" s="34"/>
      <c r="C106" s="1" t="s">
        <v>33</v>
      </c>
      <c r="D106" s="41"/>
      <c r="E106">
        <v>0</v>
      </c>
      <c r="F106" t="s">
        <v>34</v>
      </c>
      <c r="G106" s="38">
        <v>1</v>
      </c>
      <c r="H106" t="str">
        <f>+H104</f>
        <v>x Rp.</v>
      </c>
      <c r="I106" s="42">
        <v>0</v>
      </c>
      <c r="K106" s="31" t="s">
        <v>29</v>
      </c>
      <c r="L106" s="40">
        <f t="shared" ref="L106:L108" si="19">+E106*G106*I106</f>
        <v>0</v>
      </c>
      <c r="M106" s="39"/>
    </row>
    <row r="107" spans="1:13">
      <c r="A107" s="33"/>
      <c r="B107" s="34"/>
      <c r="C107" s="1" t="s">
        <v>35</v>
      </c>
      <c r="D107" s="41"/>
      <c r="E107">
        <v>0</v>
      </c>
      <c r="F107" t="s">
        <v>34</v>
      </c>
      <c r="G107" s="38">
        <v>1</v>
      </c>
      <c r="H107" t="str">
        <f t="shared" ref="H107" si="20">+H106</f>
        <v>x Rp.</v>
      </c>
      <c r="I107" s="42">
        <v>0</v>
      </c>
      <c r="K107" s="31" t="str">
        <f t="shared" ref="K107" si="21">+K106</f>
        <v>Rp.</v>
      </c>
      <c r="L107" s="40">
        <f t="shared" si="19"/>
        <v>0</v>
      </c>
      <c r="M107" s="37"/>
    </row>
    <row r="108" spans="1:13">
      <c r="A108" s="33"/>
      <c r="B108" s="34"/>
      <c r="C108" s="1" t="s">
        <v>36</v>
      </c>
      <c r="D108" s="41"/>
      <c r="E108">
        <v>0</v>
      </c>
      <c r="F108" t="s">
        <v>34</v>
      </c>
      <c r="G108" s="38">
        <v>1</v>
      </c>
      <c r="H108" t="s">
        <v>28</v>
      </c>
      <c r="I108" s="42">
        <v>0</v>
      </c>
      <c r="K108" s="31" t="s">
        <v>29</v>
      </c>
      <c r="L108" s="40">
        <f t="shared" si="19"/>
        <v>0</v>
      </c>
      <c r="M108" s="30"/>
    </row>
    <row r="109" spans="1:13">
      <c r="A109" s="33"/>
      <c r="B109" s="34">
        <v>4</v>
      </c>
      <c r="C109" s="34" t="s">
        <v>39</v>
      </c>
      <c r="D109" s="41"/>
      <c r="G109" s="38" t="s">
        <v>38</v>
      </c>
      <c r="I109" s="42"/>
      <c r="J109" s="1" t="s">
        <v>10</v>
      </c>
      <c r="K109" s="31"/>
      <c r="L109" s="40"/>
      <c r="M109" s="37"/>
    </row>
    <row r="110" spans="1:13">
      <c r="A110" s="33"/>
      <c r="B110" s="34"/>
      <c r="C110" s="1" t="s">
        <v>40</v>
      </c>
      <c r="D110" s="41"/>
      <c r="E110">
        <v>0</v>
      </c>
      <c r="F110" t="s">
        <v>34</v>
      </c>
      <c r="G110" s="38">
        <v>1</v>
      </c>
      <c r="H110" t="str">
        <f>+H111</f>
        <v>x Rp.</v>
      </c>
      <c r="I110" s="42">
        <v>0</v>
      </c>
      <c r="K110" s="31" t="str">
        <f>+K108</f>
        <v>Rp.</v>
      </c>
      <c r="L110" s="40">
        <f t="shared" ref="L110:L112" si="22">+E110*G110*I110</f>
        <v>0</v>
      </c>
      <c r="M110" s="45"/>
    </row>
    <row r="111" spans="1:13">
      <c r="A111" s="33"/>
      <c r="B111" s="34"/>
      <c r="C111" s="1" t="s">
        <v>41</v>
      </c>
      <c r="D111" s="41"/>
      <c r="E111">
        <v>0</v>
      </c>
      <c r="F111" t="s">
        <v>34</v>
      </c>
      <c r="G111" s="38">
        <v>1</v>
      </c>
      <c r="H111" t="str">
        <f>+H108</f>
        <v>x Rp.</v>
      </c>
      <c r="I111" s="42">
        <v>0</v>
      </c>
      <c r="K111" s="31" t="str">
        <f t="shared" ref="K111:K116" si="23">+K110</f>
        <v>Rp.</v>
      </c>
      <c r="L111" s="40">
        <f t="shared" si="22"/>
        <v>0</v>
      </c>
      <c r="M111" s="39"/>
    </row>
    <row r="112" spans="1:13">
      <c r="A112" s="33"/>
      <c r="B112" s="34"/>
      <c r="C112" s="1" t="s">
        <v>42</v>
      </c>
      <c r="D112" s="41"/>
      <c r="E112">
        <v>0</v>
      </c>
      <c r="F112" t="s">
        <v>34</v>
      </c>
      <c r="G112" s="38">
        <v>1</v>
      </c>
      <c r="H112" t="str">
        <f t="shared" ref="H112" si="24">+H111</f>
        <v>x Rp.</v>
      </c>
      <c r="I112" s="42">
        <v>0</v>
      </c>
      <c r="K112" s="31" t="str">
        <f t="shared" si="23"/>
        <v>Rp.</v>
      </c>
      <c r="L112" s="40">
        <f t="shared" si="22"/>
        <v>0</v>
      </c>
      <c r="M112" s="37"/>
    </row>
    <row r="113" spans="1:13">
      <c r="A113" s="33"/>
      <c r="B113" s="34">
        <v>5</v>
      </c>
      <c r="C113" s="34" t="s">
        <v>43</v>
      </c>
      <c r="D113" s="41"/>
      <c r="G113" s="38" t="s">
        <v>38</v>
      </c>
      <c r="I113" s="42"/>
      <c r="J113" s="1" t="s">
        <v>10</v>
      </c>
      <c r="K113" s="31"/>
      <c r="L113" s="40"/>
      <c r="M113" s="37"/>
    </row>
    <row r="114" spans="1:13">
      <c r="A114" s="33"/>
      <c r="B114" s="34"/>
      <c r="C114" s="1" t="s">
        <v>44</v>
      </c>
      <c r="D114" s="41"/>
      <c r="E114">
        <v>0</v>
      </c>
      <c r="F114" t="str">
        <f>+F115</f>
        <v>hari x</v>
      </c>
      <c r="G114" s="38">
        <v>1</v>
      </c>
      <c r="H114" t="str">
        <f>+H115</f>
        <v>x Rp.</v>
      </c>
      <c r="I114" s="42">
        <v>0</v>
      </c>
      <c r="K114" s="31" t="str">
        <f>+K112</f>
        <v>Rp.</v>
      </c>
      <c r="L114" s="40">
        <f t="shared" ref="L114:L116" si="25">+E114*G114*I114</f>
        <v>0</v>
      </c>
      <c r="M114" s="45"/>
    </row>
    <row r="115" spans="1:13">
      <c r="A115" s="33"/>
      <c r="B115" s="34"/>
      <c r="C115" s="1" t="s">
        <v>45</v>
      </c>
      <c r="D115" s="41"/>
      <c r="E115">
        <v>0</v>
      </c>
      <c r="F115" t="str">
        <f>+F112</f>
        <v>hari x</v>
      </c>
      <c r="G115" s="38">
        <v>1</v>
      </c>
      <c r="H115" t="str">
        <f>+H112</f>
        <v>x Rp.</v>
      </c>
      <c r="I115" s="42">
        <v>0</v>
      </c>
      <c r="K115" s="31" t="str">
        <f t="shared" si="23"/>
        <v>Rp.</v>
      </c>
      <c r="L115" s="40">
        <f t="shared" si="25"/>
        <v>0</v>
      </c>
      <c r="M115" s="39"/>
    </row>
    <row r="116" spans="1:13">
      <c r="A116" s="33"/>
      <c r="B116" s="34">
        <v>6</v>
      </c>
      <c r="C116" s="34" t="s">
        <v>46</v>
      </c>
      <c r="D116" s="41"/>
      <c r="E116">
        <v>0</v>
      </c>
      <c r="F116" t="s">
        <v>47</v>
      </c>
      <c r="G116" s="38">
        <v>1</v>
      </c>
      <c r="H116" t="str">
        <f>+H114</f>
        <v>x Rp.</v>
      </c>
      <c r="I116" s="42">
        <v>0</v>
      </c>
      <c r="K116" s="31" t="str">
        <f t="shared" si="23"/>
        <v>Rp.</v>
      </c>
      <c r="L116" s="40">
        <f t="shared" si="25"/>
        <v>0</v>
      </c>
      <c r="M116" s="37"/>
    </row>
    <row r="117" spans="1:13">
      <c r="A117" s="33"/>
      <c r="B117" s="34"/>
      <c r="D117" s="41"/>
      <c r="G117" s="38"/>
      <c r="I117" s="42"/>
      <c r="K117" s="31"/>
      <c r="L117" s="40"/>
      <c r="M117" s="30"/>
    </row>
    <row r="118" spans="1:13">
      <c r="A118" s="33"/>
      <c r="C118" s="1" t="s">
        <v>10</v>
      </c>
      <c r="D118" t="s">
        <v>10</v>
      </c>
      <c r="K118" s="31"/>
      <c r="L118" s="40"/>
      <c r="M118" s="30"/>
    </row>
    <row r="119" spans="1:13">
      <c r="A119" s="33"/>
      <c r="B119" s="34" t="s">
        <v>48</v>
      </c>
      <c r="E119" t="s">
        <v>10</v>
      </c>
      <c r="K119" s="31" t="s">
        <v>29</v>
      </c>
      <c r="L119" s="46">
        <f>SUM(L98:L116)</f>
        <v>190000</v>
      </c>
      <c r="M119" s="30"/>
    </row>
    <row r="120" spans="1:13">
      <c r="A120" s="33"/>
      <c r="D120" t="s">
        <v>10</v>
      </c>
      <c r="E120" t="s">
        <v>10</v>
      </c>
      <c r="J120" t="s">
        <v>10</v>
      </c>
      <c r="K120" s="31" t="s">
        <v>10</v>
      </c>
      <c r="L120" s="40"/>
      <c r="M120" s="30"/>
    </row>
    <row r="121" spans="1:13">
      <c r="A121" s="33" t="s">
        <v>49</v>
      </c>
      <c r="B121" s="34" t="s">
        <v>50</v>
      </c>
      <c r="K121" s="31"/>
      <c r="L121" s="40"/>
      <c r="M121" s="30"/>
    </row>
    <row r="122" spans="1:13">
      <c r="A122" s="33"/>
      <c r="B122" s="34">
        <v>1</v>
      </c>
      <c r="C122" s="34" t="s">
        <v>51</v>
      </c>
      <c r="K122" s="31"/>
      <c r="L122" s="40"/>
      <c r="M122" s="30"/>
    </row>
    <row r="123" spans="1:13">
      <c r="A123" s="33"/>
      <c r="C123" s="1" t="s">
        <v>52</v>
      </c>
      <c r="K123" s="31" t="s">
        <v>29</v>
      </c>
      <c r="L123" s="40">
        <v>0</v>
      </c>
      <c r="M123" s="30"/>
    </row>
    <row r="124" spans="1:13">
      <c r="A124" s="33"/>
      <c r="C124" s="1" t="s">
        <v>53</v>
      </c>
      <c r="K124" s="31" t="s">
        <v>29</v>
      </c>
      <c r="L124" s="40">
        <v>0</v>
      </c>
      <c r="M124" s="30"/>
    </row>
    <row r="125" spans="1:13">
      <c r="A125" s="33"/>
      <c r="C125" s="1" t="s">
        <v>54</v>
      </c>
      <c r="K125" s="31" t="s">
        <v>29</v>
      </c>
      <c r="L125" s="40">
        <v>0</v>
      </c>
      <c r="M125" s="30"/>
    </row>
    <row r="126" spans="1:13">
      <c r="A126" s="33"/>
      <c r="K126" s="31" t="s">
        <v>29</v>
      </c>
      <c r="L126" s="40">
        <v>0</v>
      </c>
      <c r="M126" s="30"/>
    </row>
    <row r="127" spans="1:13">
      <c r="A127" s="33"/>
      <c r="B127" s="34">
        <v>2</v>
      </c>
      <c r="C127" s="34" t="s">
        <v>55</v>
      </c>
      <c r="K127" s="31"/>
      <c r="L127" s="40"/>
      <c r="M127" s="30"/>
    </row>
    <row r="128" spans="1:13">
      <c r="A128" s="33"/>
      <c r="C128" s="1" t="s">
        <v>56</v>
      </c>
      <c r="D128" t="s">
        <v>57</v>
      </c>
      <c r="E128" t="s">
        <v>58</v>
      </c>
      <c r="F128" t="s">
        <v>34</v>
      </c>
      <c r="H128" t="s">
        <v>59</v>
      </c>
      <c r="I128" t="s">
        <v>60</v>
      </c>
      <c r="K128" s="31" t="s">
        <v>29</v>
      </c>
      <c r="L128" s="40">
        <v>0</v>
      </c>
      <c r="M128" s="30"/>
    </row>
    <row r="129" spans="1:13">
      <c r="A129" s="33"/>
      <c r="C129" s="1" t="s">
        <v>61</v>
      </c>
      <c r="K129" s="31"/>
      <c r="L129" s="40"/>
      <c r="M129" s="30"/>
    </row>
    <row r="130" spans="1:13">
      <c r="A130" s="33"/>
      <c r="B130" s="34">
        <v>3</v>
      </c>
      <c r="C130" s="1" t="s">
        <v>62</v>
      </c>
      <c r="K130" s="31"/>
      <c r="L130" s="40"/>
      <c r="M130" s="30"/>
    </row>
    <row r="131" spans="1:13">
      <c r="A131" s="33"/>
      <c r="B131" s="34"/>
      <c r="C131" s="1" t="s">
        <v>40</v>
      </c>
      <c r="E131">
        <v>0</v>
      </c>
      <c r="F131" t="str">
        <f>+F114</f>
        <v>hari x</v>
      </c>
      <c r="G131" s="38">
        <v>1</v>
      </c>
      <c r="H131">
        <f>+H132</f>
        <v>0</v>
      </c>
      <c r="I131" s="42">
        <v>0</v>
      </c>
      <c r="K131" s="31" t="str">
        <f>+K128</f>
        <v>Rp.</v>
      </c>
      <c r="L131" s="40">
        <f t="shared" ref="L131:L133" si="26">+E131*G131*I131</f>
        <v>0</v>
      </c>
      <c r="M131" s="30"/>
    </row>
    <row r="132" spans="1:13">
      <c r="A132" s="33"/>
      <c r="B132" s="34"/>
      <c r="C132" s="1" t="s">
        <v>41</v>
      </c>
      <c r="E132">
        <v>0</v>
      </c>
      <c r="F132" t="str">
        <f>+F131</f>
        <v>hari x</v>
      </c>
      <c r="G132" s="38">
        <v>1</v>
      </c>
      <c r="H132">
        <f>+H129</f>
        <v>0</v>
      </c>
      <c r="I132" s="42">
        <v>0</v>
      </c>
      <c r="K132" s="31" t="str">
        <f>+K131</f>
        <v>Rp.</v>
      </c>
      <c r="L132" s="40">
        <f t="shared" si="26"/>
        <v>0</v>
      </c>
      <c r="M132" s="30"/>
    </row>
    <row r="133" spans="1:13">
      <c r="A133" s="33"/>
      <c r="B133" s="34"/>
      <c r="C133" s="1" t="s">
        <v>42</v>
      </c>
      <c r="E133">
        <v>0</v>
      </c>
      <c r="F133" t="str">
        <f t="shared" ref="F133" si="27">+F132</f>
        <v>hari x</v>
      </c>
      <c r="G133" s="38">
        <v>0.5</v>
      </c>
      <c r="H133">
        <f t="shared" ref="H133" si="28">+H132</f>
        <v>0</v>
      </c>
      <c r="I133" s="42">
        <v>0</v>
      </c>
      <c r="K133" s="31" t="str">
        <f t="shared" ref="K133" si="29">+K132</f>
        <v>Rp.</v>
      </c>
      <c r="L133" s="40">
        <f t="shared" si="26"/>
        <v>0</v>
      </c>
      <c r="M133" s="30"/>
    </row>
    <row r="134" spans="1:13">
      <c r="A134" s="33"/>
      <c r="B134">
        <v>4</v>
      </c>
      <c r="C134" s="1" t="s">
        <v>63</v>
      </c>
      <c r="G134" s="41"/>
      <c r="I134" s="1" t="s">
        <v>10</v>
      </c>
      <c r="K134" s="31"/>
      <c r="L134" s="40"/>
      <c r="M134" s="30"/>
    </row>
    <row r="135" spans="1:13">
      <c r="A135" s="33"/>
      <c r="K135" s="31"/>
      <c r="L135" s="40"/>
      <c r="M135" s="30"/>
    </row>
    <row r="136" spans="1:13">
      <c r="A136" s="33"/>
      <c r="B136" s="34" t="s">
        <v>64</v>
      </c>
      <c r="C136" s="34"/>
      <c r="K136" s="31" t="s">
        <v>29</v>
      </c>
      <c r="L136" s="46">
        <f>SUM(L123:L135)</f>
        <v>0</v>
      </c>
      <c r="M136" s="30"/>
    </row>
    <row r="137" spans="1:13">
      <c r="A137" s="33"/>
      <c r="K137" s="31"/>
      <c r="L137" s="40"/>
      <c r="M137" s="30"/>
    </row>
    <row r="138" ht="15.15" spans="1:13">
      <c r="A138" s="33" t="s">
        <v>65</v>
      </c>
      <c r="B138" s="34" t="s">
        <v>66</v>
      </c>
      <c r="C138" s="34"/>
      <c r="K138" s="31" t="s">
        <v>29</v>
      </c>
      <c r="L138" s="46">
        <f>L136+L119</f>
        <v>190000</v>
      </c>
      <c r="M138" s="47"/>
    </row>
    <row r="139" spans="1:13">
      <c r="A139" s="30"/>
      <c r="G139" t="s">
        <v>10</v>
      </c>
      <c r="K139" s="48"/>
      <c r="L139" s="49"/>
      <c r="M139" s="47"/>
    </row>
    <row r="140" spans="1:13">
      <c r="A140" s="50"/>
      <c r="B140" s="51"/>
      <c r="C140" s="52"/>
      <c r="D140" s="52"/>
      <c r="E140" s="52"/>
      <c r="F140" s="53"/>
      <c r="G140" s="53"/>
      <c r="H140" s="53"/>
      <c r="I140" s="53"/>
      <c r="J140" s="54"/>
      <c r="K140" s="55"/>
      <c r="L140" s="54"/>
      <c r="M140" s="56"/>
    </row>
    <row r="141" spans="1:13">
      <c r="B141" t="s">
        <v>10</v>
      </c>
      <c r="K141" s="57"/>
      <c r="L141" s="57"/>
      <c r="M141" s="57"/>
    </row>
    <row r="142" spans="1:13">
      <c r="A142" t="s">
        <v>67</v>
      </c>
      <c r="H142" t="s">
        <v>68</v>
      </c>
    </row>
    <row r="143" spans="1:13">
      <c r="C143" s="34" t="s">
        <v>29</v>
      </c>
      <c r="D143" s="34"/>
      <c r="E143" s="58">
        <f>+L138</f>
        <v>190000</v>
      </c>
      <c r="I143" s="34" t="s">
        <v>29</v>
      </c>
      <c r="L143" s="59">
        <f>+L138</f>
        <v>190000</v>
      </c>
    </row>
    <row r="144" spans="1:13">
      <c r="A144" s="60"/>
      <c r="C144" s="34"/>
      <c r="I144" s="34"/>
    </row>
    <row r="145" spans="1:13">
      <c r="G145" t="s">
        <v>10</v>
      </c>
    </row>
    <row r="146" spans="1:13">
      <c r="B146" s="61" t="s">
        <v>69</v>
      </c>
      <c r="C146" s="61"/>
      <c r="H146" s="62" t="s">
        <v>70</v>
      </c>
      <c r="I146" s="62"/>
      <c r="J146" s="62"/>
      <c r="K146" s="62"/>
      <c r="L146" s="62"/>
    </row>
    <row r="147" spans="1:13">
      <c r="H147" s="63"/>
      <c r="I147" s="63"/>
      <c r="J147" s="63"/>
      <c r="K147" s="63"/>
      <c r="L147" s="63"/>
    </row>
    <row r="148" spans="1:13">
      <c r="H148" s="63"/>
      <c r="I148" s="63"/>
      <c r="J148" s="63"/>
      <c r="K148" s="63"/>
      <c r="L148" s="63"/>
    </row>
    <row r="149" spans="1:13">
      <c r="H149" s="63"/>
      <c r="I149" s="63"/>
      <c r="J149" s="63"/>
      <c r="K149" s="63"/>
      <c r="L149" s="63"/>
    </row>
    <row r="151" spans="1:13">
      <c r="B151" s="61" t="s">
        <v>71</v>
      </c>
      <c r="C151" s="61"/>
      <c r="H151" s="62" t="str">
        <f>E90</f>
        <v>MUH. ADLIM JANIB AMNUR</v>
      </c>
      <c r="I151" s="62"/>
      <c r="J151" s="62"/>
      <c r="K151" s="62"/>
      <c r="L151" s="62"/>
    </row>
    <row r="152" ht="16.2" spans="1:13">
      <c r="A152" s="2"/>
      <c r="B152" s="3"/>
      <c r="C152" s="4"/>
      <c r="D152" s="4"/>
      <c r="E152" s="4"/>
      <c r="F152" s="2"/>
      <c r="G152" s="2"/>
      <c r="H152" s="2"/>
      <c r="I152" s="3"/>
      <c r="J152" s="3"/>
      <c r="K152" s="3"/>
      <c r="L152" s="3"/>
      <c r="M152" s="3"/>
    </row>
    <row r="153" ht="16.2" spans="1:13">
      <c r="A153" s="2"/>
      <c r="B153" s="5"/>
      <c r="C153" s="4"/>
      <c r="D153" s="4"/>
      <c r="E153" s="4"/>
      <c r="F153" s="2"/>
      <c r="G153" s="2"/>
      <c r="H153" s="2"/>
      <c r="I153" s="3"/>
      <c r="J153" s="3"/>
      <c r="K153" s="3"/>
      <c r="L153" s="3"/>
      <c r="M153" s="3"/>
    </row>
    <row r="154" ht="16.2" spans="1:13">
      <c r="A154" s="2"/>
      <c r="B154" s="5"/>
      <c r="C154" s="6"/>
      <c r="D154" s="3"/>
      <c r="E154" s="2"/>
      <c r="F154" s="2"/>
      <c r="G154" s="2"/>
      <c r="H154" s="2"/>
      <c r="I154" s="3"/>
      <c r="J154" s="3"/>
      <c r="K154" s="3"/>
      <c r="L154" s="3"/>
      <c r="M154" s="3"/>
    </row>
    <row r="155" ht="15.6" spans="1:13">
      <c r="A155" s="7"/>
      <c r="B155" s="8"/>
      <c r="C155" s="7"/>
      <c r="D155" s="9"/>
      <c r="E155" s="9"/>
      <c r="F155" s="10"/>
      <c r="G155" s="10"/>
      <c r="H155" s="9"/>
      <c r="I155" s="10"/>
      <c r="J155" s="10"/>
      <c r="K155" s="11"/>
      <c r="L155" s="7"/>
      <c r="M155" s="3"/>
    </row>
    <row r="156" ht="15.6" spans="1:13">
      <c r="A156" s="12"/>
      <c r="B156" s="13"/>
      <c r="C156" s="7"/>
      <c r="D156" s="9"/>
      <c r="E156" s="9"/>
      <c r="F156" s="10"/>
      <c r="G156" s="10"/>
      <c r="H156" s="9"/>
      <c r="I156" s="10"/>
      <c r="J156" s="10"/>
      <c r="K156" s="7"/>
      <c r="L156" s="73" t="s">
        <v>0</v>
      </c>
      <c r="M156" s="3"/>
    </row>
    <row r="157" ht="16.2" spans="1:13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</row>
    <row r="158" ht="15.6" spans="1:13">
      <c r="A158" s="14" t="s">
        <v>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60" ht="15" spans="1:13">
      <c r="C160" s="1" t="s">
        <v>2</v>
      </c>
      <c r="D160" t="s">
        <v>3</v>
      </c>
      <c r="E160" s="15"/>
    </row>
    <row r="161" spans="1:17">
      <c r="C161" s="1" t="s">
        <v>4</v>
      </c>
      <c r="D161" t="s">
        <v>3</v>
      </c>
      <c r="E161" s="16">
        <v>46287</v>
      </c>
      <c r="F161" s="17" t="s">
        <v>5</v>
      </c>
      <c r="G161" s="18">
        <v>46287</v>
      </c>
      <c r="H161" s="18"/>
    </row>
    <row r="162" ht="15" spans="1:17">
      <c r="C162" s="1" t="s">
        <v>6</v>
      </c>
      <c r="D162" t="s">
        <v>3</v>
      </c>
      <c r="E162" s="15" t="s">
        <v>72</v>
      </c>
    </row>
    <row r="163" spans="1:17">
      <c r="C163" s="19" t="s">
        <v>8</v>
      </c>
      <c r="D163" t="s">
        <v>3</v>
      </c>
      <c r="E163" s="20" t="s">
        <v>73</v>
      </c>
      <c r="F163" s="20"/>
      <c r="G163" s="20"/>
      <c r="H163" s="20"/>
      <c r="I163" s="20"/>
      <c r="J163" s="20"/>
      <c r="K163" s="20"/>
      <c r="L163" s="20"/>
      <c r="M163" s="20"/>
    </row>
    <row r="164" spans="1:17">
      <c r="C164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7">
      <c r="C165" s="1" t="s">
        <v>11</v>
      </c>
      <c r="D165" t="s">
        <v>3</v>
      </c>
      <c r="E165" s="21" t="s">
        <v>13</v>
      </c>
      <c r="F165" s="16"/>
      <c r="G165" s="17"/>
      <c r="H165" s="18"/>
      <c r="I165" s="18"/>
      <c r="N165" s="21" t="s">
        <v>13</v>
      </c>
      <c r="O165" s="21" t="s">
        <v>14</v>
      </c>
      <c r="P165" s="21" t="s">
        <v>12</v>
      </c>
      <c r="Q165" s="21" t="s">
        <v>15</v>
      </c>
    </row>
    <row r="166" ht="15.6" spans="1:17">
      <c r="C166" s="1" t="s">
        <v>16</v>
      </c>
      <c r="D166" t="s">
        <v>3</v>
      </c>
      <c r="E166" s="22" t="s">
        <v>99</v>
      </c>
      <c r="F166" s="22"/>
      <c r="G166" s="22"/>
      <c r="H166" s="22"/>
      <c r="I166" s="22"/>
    </row>
    <row r="167" ht="15.6" spans="1:17">
      <c r="C167" s="1" t="s">
        <v>18</v>
      </c>
      <c r="D167" t="s">
        <v>3</v>
      </c>
      <c r="E167" s="23" t="s">
        <v>19</v>
      </c>
      <c r="F167" s="24"/>
    </row>
    <row r="168" spans="1:17">
      <c r="E168" s="24"/>
    </row>
    <row r="169" spans="1:17">
      <c r="A169" s="25" t="s">
        <v>20</v>
      </c>
      <c r="B169" s="26" t="s">
        <v>21</v>
      </c>
      <c r="C169" s="27"/>
      <c r="D169" s="27"/>
      <c r="E169" s="27"/>
      <c r="F169" s="27"/>
      <c r="G169" s="27"/>
      <c r="H169" s="27"/>
      <c r="I169" s="27"/>
      <c r="J169" s="28"/>
      <c r="K169" s="26" t="s">
        <v>22</v>
      </c>
      <c r="L169" s="28"/>
      <c r="M169" s="29" t="s">
        <v>23</v>
      </c>
    </row>
    <row r="170" spans="1:17">
      <c r="A170" s="30"/>
      <c r="K170" s="31"/>
      <c r="L170" s="32"/>
      <c r="M170" s="30"/>
    </row>
    <row r="171" spans="1:17">
      <c r="A171" s="33" t="s">
        <v>24</v>
      </c>
      <c r="B171" t="s">
        <v>25</v>
      </c>
      <c r="K171" s="31"/>
      <c r="L171" s="32"/>
      <c r="M171" s="30"/>
    </row>
    <row r="172" spans="1:17">
      <c r="A172" s="33"/>
      <c r="K172" s="31"/>
      <c r="L172" s="32"/>
      <c r="M172" s="30"/>
    </row>
    <row r="173" spans="1:17">
      <c r="A173" s="33"/>
      <c r="B173" s="34">
        <v>1</v>
      </c>
      <c r="C173" s="34" t="s">
        <v>26</v>
      </c>
      <c r="K173" s="31"/>
      <c r="L173" s="32"/>
      <c r="M173" s="30"/>
    </row>
    <row r="174" spans="1:17">
      <c r="A174" s="33"/>
      <c r="B174" s="34"/>
      <c r="C174" s="1" t="s">
        <v>27</v>
      </c>
      <c r="G174">
        <v>0</v>
      </c>
      <c r="H174" s="1" t="s">
        <v>28</v>
      </c>
      <c r="I174" s="35">
        <v>0</v>
      </c>
      <c r="K174" s="31" t="s">
        <v>29</v>
      </c>
      <c r="L174" s="36">
        <f t="shared" ref="L174:L176" si="30">+I174*G174</f>
        <v>0</v>
      </c>
      <c r="M174" s="37"/>
    </row>
    <row r="175" spans="1:17">
      <c r="A175" s="33"/>
      <c r="B175" s="34"/>
      <c r="C175" s="1" t="s">
        <v>30</v>
      </c>
      <c r="G175">
        <v>0</v>
      </c>
      <c r="H175" t="s">
        <v>28</v>
      </c>
      <c r="I175" s="35">
        <v>0</v>
      </c>
      <c r="J175" s="38"/>
      <c r="K175" s="31" t="s">
        <v>29</v>
      </c>
      <c r="L175" s="36">
        <f t="shared" si="30"/>
        <v>0</v>
      </c>
      <c r="M175" s="39"/>
    </row>
    <row r="176" spans="1:17">
      <c r="A176" s="33"/>
      <c r="B176" s="34"/>
      <c r="C176" s="1" t="s">
        <v>31</v>
      </c>
      <c r="G176">
        <v>0</v>
      </c>
      <c r="H176" t="s">
        <v>28</v>
      </c>
      <c r="I176" s="35">
        <v>0</v>
      </c>
      <c r="K176" s="31" t="s">
        <v>29</v>
      </c>
      <c r="L176" s="36">
        <f t="shared" si="30"/>
        <v>0</v>
      </c>
      <c r="M176" s="37"/>
    </row>
    <row r="177" spans="1:13">
      <c r="A177" s="33"/>
      <c r="B177" s="34">
        <v>2</v>
      </c>
      <c r="C177" s="34" t="s">
        <v>32</v>
      </c>
      <c r="D177" s="34"/>
      <c r="K177" s="31"/>
      <c r="L177" s="40"/>
      <c r="M177" s="30"/>
    </row>
    <row r="178" spans="1:13">
      <c r="A178" s="33"/>
      <c r="B178" s="34"/>
      <c r="C178" s="1" t="s">
        <v>33</v>
      </c>
      <c r="D178" s="41"/>
      <c r="E178">
        <v>1</v>
      </c>
      <c r="F178" t="s">
        <v>34</v>
      </c>
      <c r="G178" s="38">
        <v>1</v>
      </c>
      <c r="H178" t="s">
        <v>28</v>
      </c>
      <c r="I178" s="42">
        <v>190000</v>
      </c>
      <c r="K178" s="31" t="s">
        <v>29</v>
      </c>
      <c r="L178" s="43">
        <f t="shared" ref="L178:L180" si="31">I178*G178*E178</f>
        <v>190000</v>
      </c>
      <c r="M178" s="37"/>
    </row>
    <row r="179" spans="1:13">
      <c r="A179" s="33"/>
      <c r="B179" s="34"/>
      <c r="C179" s="1" t="s">
        <v>35</v>
      </c>
      <c r="D179" s="41"/>
      <c r="E179">
        <v>0</v>
      </c>
      <c r="F179" t="s">
        <v>34</v>
      </c>
      <c r="G179" s="38">
        <v>1</v>
      </c>
      <c r="H179" t="str">
        <f t="shared" ref="H179:H180" si="32">+H178</f>
        <v>x Rp.</v>
      </c>
      <c r="I179" s="42">
        <v>50000</v>
      </c>
      <c r="K179" s="31" t="str">
        <f t="shared" ref="K179:K180" si="33">+K178</f>
        <v>Rp.</v>
      </c>
      <c r="L179" s="43">
        <f t="shared" si="31"/>
        <v>0</v>
      </c>
      <c r="M179" s="37"/>
    </row>
    <row r="180" spans="1:13">
      <c r="A180" s="33"/>
      <c r="B180" s="34"/>
      <c r="C180" s="1" t="s">
        <v>36</v>
      </c>
      <c r="D180" s="41"/>
      <c r="E180">
        <v>0</v>
      </c>
      <c r="F180" t="s">
        <v>34</v>
      </c>
      <c r="G180" s="38">
        <v>1</v>
      </c>
      <c r="H180" t="str">
        <f t="shared" si="32"/>
        <v>x Rp.</v>
      </c>
      <c r="I180" s="42">
        <v>0</v>
      </c>
      <c r="K180" s="31" t="str">
        <f t="shared" si="33"/>
        <v>Rp.</v>
      </c>
      <c r="L180" s="43">
        <f t="shared" si="31"/>
        <v>0</v>
      </c>
      <c r="M180" s="44"/>
    </row>
    <row r="181" spans="1:13">
      <c r="A181" s="33"/>
      <c r="B181" s="34">
        <v>3</v>
      </c>
      <c r="C181" s="34" t="s">
        <v>37</v>
      </c>
      <c r="D181" s="41"/>
      <c r="G181" s="38" t="s">
        <v>38</v>
      </c>
      <c r="I181" s="42"/>
      <c r="J181" s="1" t="s">
        <v>10</v>
      </c>
      <c r="K181" s="31"/>
      <c r="L181" s="40"/>
      <c r="M181" s="37"/>
    </row>
    <row r="182" spans="1:13">
      <c r="A182" s="33"/>
      <c r="B182" s="34"/>
      <c r="C182" s="1" t="s">
        <v>33</v>
      </c>
      <c r="D182" s="41"/>
      <c r="E182">
        <v>0</v>
      </c>
      <c r="F182" t="s">
        <v>34</v>
      </c>
      <c r="G182" s="38">
        <v>1</v>
      </c>
      <c r="H182" t="str">
        <f>+H180</f>
        <v>x Rp.</v>
      </c>
      <c r="I182" s="42">
        <v>0</v>
      </c>
      <c r="K182" s="31" t="s">
        <v>29</v>
      </c>
      <c r="L182" s="40">
        <f t="shared" ref="L182:L184" si="34">+E182*G182*I182</f>
        <v>0</v>
      </c>
      <c r="M182" s="39"/>
    </row>
    <row r="183" spans="1:13">
      <c r="A183" s="33"/>
      <c r="B183" s="34"/>
      <c r="C183" s="1" t="s">
        <v>35</v>
      </c>
      <c r="D183" s="41"/>
      <c r="E183">
        <v>0</v>
      </c>
      <c r="F183" t="s">
        <v>34</v>
      </c>
      <c r="G183" s="38">
        <v>1</v>
      </c>
      <c r="H183" t="str">
        <f t="shared" ref="H183" si="35">+H182</f>
        <v>x Rp.</v>
      </c>
      <c r="I183" s="42">
        <v>0</v>
      </c>
      <c r="K183" s="31" t="str">
        <f t="shared" ref="K183" si="36">+K182</f>
        <v>Rp.</v>
      </c>
      <c r="L183" s="40">
        <f t="shared" si="34"/>
        <v>0</v>
      </c>
      <c r="M183" s="37"/>
    </row>
    <row r="184" spans="1:13">
      <c r="A184" s="33"/>
      <c r="B184" s="34"/>
      <c r="C184" s="1" t="s">
        <v>36</v>
      </c>
      <c r="D184" s="41"/>
      <c r="E184">
        <v>0</v>
      </c>
      <c r="F184" t="s">
        <v>34</v>
      </c>
      <c r="G184" s="38">
        <v>1</v>
      </c>
      <c r="H184" t="s">
        <v>28</v>
      </c>
      <c r="I184" s="42">
        <v>0</v>
      </c>
      <c r="K184" s="31" t="s">
        <v>29</v>
      </c>
      <c r="L184" s="40">
        <f t="shared" si="34"/>
        <v>0</v>
      </c>
      <c r="M184" s="30"/>
    </row>
    <row r="185" spans="1:13">
      <c r="A185" s="33"/>
      <c r="B185" s="34">
        <v>4</v>
      </c>
      <c r="C185" s="34" t="s">
        <v>39</v>
      </c>
      <c r="D185" s="41"/>
      <c r="G185" s="38" t="s">
        <v>38</v>
      </c>
      <c r="I185" s="42"/>
      <c r="J185" s="1" t="s">
        <v>10</v>
      </c>
      <c r="K185" s="31"/>
      <c r="L185" s="40"/>
      <c r="M185" s="37"/>
    </row>
    <row r="186" spans="1:13">
      <c r="A186" s="33"/>
      <c r="B186" s="34"/>
      <c r="C186" s="1" t="s">
        <v>40</v>
      </c>
      <c r="D186" s="41"/>
      <c r="E186">
        <v>0</v>
      </c>
      <c r="F186" t="s">
        <v>34</v>
      </c>
      <c r="G186" s="38">
        <v>1</v>
      </c>
      <c r="H186" t="str">
        <f>+H187</f>
        <v>x Rp.</v>
      </c>
      <c r="I186" s="42">
        <v>0</v>
      </c>
      <c r="K186" s="31" t="str">
        <f>+K184</f>
        <v>Rp.</v>
      </c>
      <c r="L186" s="40">
        <f t="shared" ref="L186:L188" si="37">+E186*G186*I186</f>
        <v>0</v>
      </c>
      <c r="M186" s="45"/>
    </row>
    <row r="187" spans="1:13">
      <c r="A187" s="33"/>
      <c r="B187" s="34"/>
      <c r="C187" s="1" t="s">
        <v>41</v>
      </c>
      <c r="D187" s="41"/>
      <c r="E187">
        <v>0</v>
      </c>
      <c r="F187" t="s">
        <v>34</v>
      </c>
      <c r="G187" s="38">
        <v>1</v>
      </c>
      <c r="H187" t="str">
        <f>+H184</f>
        <v>x Rp.</v>
      </c>
      <c r="I187" s="42">
        <v>0</v>
      </c>
      <c r="K187" s="31" t="str">
        <f t="shared" ref="K187:K192" si="38">+K186</f>
        <v>Rp.</v>
      </c>
      <c r="L187" s="40">
        <f t="shared" si="37"/>
        <v>0</v>
      </c>
      <c r="M187" s="39"/>
    </row>
    <row r="188" spans="1:13">
      <c r="A188" s="33"/>
      <c r="B188" s="34"/>
      <c r="C188" s="1" t="s">
        <v>42</v>
      </c>
      <c r="D188" s="41"/>
      <c r="E188">
        <v>0</v>
      </c>
      <c r="F188" t="s">
        <v>34</v>
      </c>
      <c r="G188" s="38">
        <v>1</v>
      </c>
      <c r="H188" t="str">
        <f t="shared" ref="H188" si="39">+H187</f>
        <v>x Rp.</v>
      </c>
      <c r="I188" s="42">
        <v>0</v>
      </c>
      <c r="K188" s="31" t="str">
        <f t="shared" si="38"/>
        <v>Rp.</v>
      </c>
      <c r="L188" s="40">
        <f t="shared" si="37"/>
        <v>0</v>
      </c>
      <c r="M188" s="37"/>
    </row>
    <row r="189" spans="1:13">
      <c r="A189" s="33"/>
      <c r="B189" s="34">
        <v>5</v>
      </c>
      <c r="C189" s="34" t="s">
        <v>43</v>
      </c>
      <c r="D189" s="41"/>
      <c r="G189" s="38" t="s">
        <v>38</v>
      </c>
      <c r="I189" s="42"/>
      <c r="J189" s="1" t="s">
        <v>10</v>
      </c>
      <c r="K189" s="31"/>
      <c r="L189" s="40"/>
      <c r="M189" s="37"/>
    </row>
    <row r="190" spans="1:13">
      <c r="A190" s="33"/>
      <c r="B190" s="34"/>
      <c r="C190" s="1" t="s">
        <v>44</v>
      </c>
      <c r="D190" s="41"/>
      <c r="E190">
        <v>0</v>
      </c>
      <c r="F190" t="str">
        <f>+F191</f>
        <v>hari x</v>
      </c>
      <c r="G190" s="38">
        <v>1</v>
      </c>
      <c r="H190" t="str">
        <f>+H191</f>
        <v>x Rp.</v>
      </c>
      <c r="I190" s="42">
        <v>0</v>
      </c>
      <c r="K190" s="31" t="str">
        <f>+K188</f>
        <v>Rp.</v>
      </c>
      <c r="L190" s="40">
        <f t="shared" ref="L190:L192" si="40">+E190*G190*I190</f>
        <v>0</v>
      </c>
      <c r="M190" s="45"/>
    </row>
    <row r="191" spans="1:13">
      <c r="A191" s="33"/>
      <c r="B191" s="34"/>
      <c r="C191" s="1" t="s">
        <v>45</v>
      </c>
      <c r="D191" s="41"/>
      <c r="E191">
        <v>0</v>
      </c>
      <c r="F191" t="str">
        <f>+F188</f>
        <v>hari x</v>
      </c>
      <c r="G191" s="38">
        <v>1</v>
      </c>
      <c r="H191" t="str">
        <f>+H188</f>
        <v>x Rp.</v>
      </c>
      <c r="I191" s="42">
        <v>0</v>
      </c>
      <c r="K191" s="31" t="str">
        <f t="shared" si="38"/>
        <v>Rp.</v>
      </c>
      <c r="L191" s="40">
        <f t="shared" si="40"/>
        <v>0</v>
      </c>
      <c r="M191" s="39"/>
    </row>
    <row r="192" spans="1:13">
      <c r="A192" s="33"/>
      <c r="B192" s="34">
        <v>6</v>
      </c>
      <c r="C192" s="34" t="s">
        <v>46</v>
      </c>
      <c r="D192" s="41"/>
      <c r="E192">
        <v>0</v>
      </c>
      <c r="F192" t="s">
        <v>47</v>
      </c>
      <c r="G192" s="38">
        <v>1</v>
      </c>
      <c r="H192" t="str">
        <f>+H190</f>
        <v>x Rp.</v>
      </c>
      <c r="I192" s="42">
        <v>0</v>
      </c>
      <c r="K192" s="31" t="str">
        <f t="shared" si="38"/>
        <v>Rp.</v>
      </c>
      <c r="L192" s="40">
        <f t="shared" si="40"/>
        <v>0</v>
      </c>
      <c r="M192" s="37"/>
    </row>
    <row r="193" spans="1:13">
      <c r="A193" s="33"/>
      <c r="B193" s="34"/>
      <c r="D193" s="41"/>
      <c r="G193" s="38"/>
      <c r="I193" s="42"/>
      <c r="K193" s="31"/>
      <c r="L193" s="40"/>
      <c r="M193" s="30"/>
    </row>
    <row r="194" spans="1:13">
      <c r="A194" s="33"/>
      <c r="C194" s="1" t="s">
        <v>10</v>
      </c>
      <c r="D194" t="s">
        <v>10</v>
      </c>
      <c r="K194" s="31"/>
      <c r="L194" s="40"/>
      <c r="M194" s="30"/>
    </row>
    <row r="195" spans="1:13">
      <c r="A195" s="33"/>
      <c r="B195" s="34" t="s">
        <v>48</v>
      </c>
      <c r="E195" t="s">
        <v>10</v>
      </c>
      <c r="K195" s="31" t="s">
        <v>29</v>
      </c>
      <c r="L195" s="46">
        <f>SUM(L174:L192)</f>
        <v>190000</v>
      </c>
      <c r="M195" s="30"/>
    </row>
    <row r="196" spans="1:13">
      <c r="A196" s="33"/>
      <c r="D196" t="s">
        <v>10</v>
      </c>
      <c r="E196" t="s">
        <v>10</v>
      </c>
      <c r="J196" t="s">
        <v>10</v>
      </c>
      <c r="K196" s="31" t="s">
        <v>10</v>
      </c>
      <c r="L196" s="40"/>
      <c r="M196" s="30"/>
    </row>
    <row r="197" spans="1:13">
      <c r="A197" s="33" t="s">
        <v>49</v>
      </c>
      <c r="B197" s="34" t="s">
        <v>50</v>
      </c>
      <c r="K197" s="31"/>
      <c r="L197" s="40"/>
      <c r="M197" s="30"/>
    </row>
    <row r="198" spans="1:13">
      <c r="A198" s="33"/>
      <c r="B198" s="34">
        <v>1</v>
      </c>
      <c r="C198" s="34" t="s">
        <v>51</v>
      </c>
      <c r="K198" s="31"/>
      <c r="L198" s="40"/>
      <c r="M198" s="30"/>
    </row>
    <row r="199" spans="1:13">
      <c r="A199" s="33"/>
      <c r="C199" s="1" t="s">
        <v>52</v>
      </c>
      <c r="K199" s="31" t="s">
        <v>29</v>
      </c>
      <c r="L199" s="40">
        <v>0</v>
      </c>
      <c r="M199" s="30"/>
    </row>
    <row r="200" spans="1:13">
      <c r="A200" s="33"/>
      <c r="C200" s="1" t="s">
        <v>53</v>
      </c>
      <c r="K200" s="31" t="s">
        <v>29</v>
      </c>
      <c r="L200" s="40">
        <v>0</v>
      </c>
      <c r="M200" s="30"/>
    </row>
    <row r="201" spans="1:13">
      <c r="A201" s="33"/>
      <c r="C201" s="1" t="s">
        <v>54</v>
      </c>
      <c r="K201" s="31" t="s">
        <v>29</v>
      </c>
      <c r="L201" s="40">
        <v>0</v>
      </c>
      <c r="M201" s="30"/>
    </row>
    <row r="202" spans="1:13">
      <c r="A202" s="33"/>
      <c r="K202" s="31" t="s">
        <v>29</v>
      </c>
      <c r="L202" s="40">
        <v>0</v>
      </c>
      <c r="M202" s="30"/>
    </row>
    <row r="203" spans="1:13">
      <c r="A203" s="33"/>
      <c r="B203" s="34">
        <v>2</v>
      </c>
      <c r="C203" s="34" t="s">
        <v>55</v>
      </c>
      <c r="K203" s="31"/>
      <c r="L203" s="40"/>
      <c r="M203" s="30"/>
    </row>
    <row r="204" spans="1:13">
      <c r="A204" s="33"/>
      <c r="C204" s="1" t="s">
        <v>56</v>
      </c>
      <c r="D204" t="s">
        <v>57</v>
      </c>
      <c r="E204" t="s">
        <v>58</v>
      </c>
      <c r="F204" t="s">
        <v>34</v>
      </c>
      <c r="H204" t="s">
        <v>59</v>
      </c>
      <c r="I204" t="s">
        <v>60</v>
      </c>
      <c r="K204" s="31" t="s">
        <v>29</v>
      </c>
      <c r="L204" s="40">
        <v>0</v>
      </c>
      <c r="M204" s="30"/>
    </row>
    <row r="205" spans="1:13">
      <c r="A205" s="33"/>
      <c r="C205" s="1" t="s">
        <v>61</v>
      </c>
      <c r="K205" s="31"/>
      <c r="L205" s="40"/>
      <c r="M205" s="30"/>
    </row>
    <row r="206" spans="1:13">
      <c r="A206" s="33"/>
      <c r="B206" s="34">
        <v>3</v>
      </c>
      <c r="C206" s="1" t="s">
        <v>62</v>
      </c>
      <c r="K206" s="31"/>
      <c r="L206" s="40"/>
      <c r="M206" s="30"/>
    </row>
    <row r="207" spans="1:13">
      <c r="A207" s="33"/>
      <c r="B207" s="34"/>
      <c r="C207" s="1" t="s">
        <v>40</v>
      </c>
      <c r="E207">
        <v>0</v>
      </c>
      <c r="F207" t="str">
        <f>+F190</f>
        <v>hari x</v>
      </c>
      <c r="G207" s="38">
        <v>1</v>
      </c>
      <c r="H207">
        <f>+H208</f>
        <v>0</v>
      </c>
      <c r="I207" s="42">
        <v>0</v>
      </c>
      <c r="K207" s="31" t="str">
        <f>+K204</f>
        <v>Rp.</v>
      </c>
      <c r="L207" s="40">
        <f t="shared" ref="L207:L209" si="41">+E207*G207*I207</f>
        <v>0</v>
      </c>
      <c r="M207" s="30"/>
    </row>
    <row r="208" spans="1:13">
      <c r="A208" s="33"/>
      <c r="B208" s="34"/>
      <c r="C208" s="1" t="s">
        <v>41</v>
      </c>
      <c r="E208">
        <v>0</v>
      </c>
      <c r="F208" t="str">
        <f>+F207</f>
        <v>hari x</v>
      </c>
      <c r="G208" s="38">
        <v>1</v>
      </c>
      <c r="H208">
        <f>+H205</f>
        <v>0</v>
      </c>
      <c r="I208" s="42">
        <v>0</v>
      </c>
      <c r="K208" s="31" t="str">
        <f>+K207</f>
        <v>Rp.</v>
      </c>
      <c r="L208" s="40">
        <f t="shared" si="41"/>
        <v>0</v>
      </c>
      <c r="M208" s="30"/>
    </row>
    <row r="209" spans="1:13">
      <c r="A209" s="33"/>
      <c r="B209" s="34"/>
      <c r="C209" s="1" t="s">
        <v>42</v>
      </c>
      <c r="E209">
        <v>0</v>
      </c>
      <c r="F209" t="str">
        <f t="shared" ref="F209" si="42">+F208</f>
        <v>hari x</v>
      </c>
      <c r="G209" s="38">
        <v>0.5</v>
      </c>
      <c r="H209">
        <f t="shared" ref="H209" si="43">+H208</f>
        <v>0</v>
      </c>
      <c r="I209" s="42">
        <v>0</v>
      </c>
      <c r="K209" s="31" t="str">
        <f t="shared" ref="K209" si="44">+K208</f>
        <v>Rp.</v>
      </c>
      <c r="L209" s="40">
        <f t="shared" si="41"/>
        <v>0</v>
      </c>
      <c r="M209" s="30"/>
    </row>
    <row r="210" spans="1:13">
      <c r="A210" s="33"/>
      <c r="B210">
        <v>4</v>
      </c>
      <c r="C210" s="1" t="s">
        <v>63</v>
      </c>
      <c r="G210" s="41"/>
      <c r="I210" s="1" t="s">
        <v>10</v>
      </c>
      <c r="K210" s="31"/>
      <c r="L210" s="40"/>
      <c r="M210" s="30"/>
    </row>
    <row r="211" spans="1:13">
      <c r="A211" s="33"/>
      <c r="K211" s="31"/>
      <c r="L211" s="40"/>
      <c r="M211" s="30"/>
    </row>
    <row r="212" spans="1:13">
      <c r="A212" s="33"/>
      <c r="B212" s="34" t="s">
        <v>64</v>
      </c>
      <c r="C212" s="34"/>
      <c r="K212" s="31" t="s">
        <v>29</v>
      </c>
      <c r="L212" s="46">
        <f>SUM(L199:L211)</f>
        <v>0</v>
      </c>
      <c r="M212" s="30"/>
    </row>
    <row r="213" spans="1:13">
      <c r="A213" s="33"/>
      <c r="K213" s="31"/>
      <c r="L213" s="40"/>
      <c r="M213" s="30"/>
    </row>
    <row r="214" ht="15.15" spans="1:13">
      <c r="A214" s="33" t="s">
        <v>65</v>
      </c>
      <c r="B214" s="34" t="s">
        <v>66</v>
      </c>
      <c r="C214" s="34"/>
      <c r="K214" s="31" t="s">
        <v>29</v>
      </c>
      <c r="L214" s="46">
        <f>L212+L195</f>
        <v>190000</v>
      </c>
      <c r="M214" s="47"/>
    </row>
    <row r="215" spans="1:13">
      <c r="A215" s="30"/>
      <c r="G215" t="s">
        <v>10</v>
      </c>
      <c r="K215" s="48"/>
      <c r="L215" s="49"/>
      <c r="M215" s="47"/>
    </row>
    <row r="216" spans="1:13">
      <c r="A216" s="50"/>
      <c r="B216" s="51"/>
      <c r="C216" s="52"/>
      <c r="D216" s="52"/>
      <c r="E216" s="52"/>
      <c r="F216" s="53"/>
      <c r="G216" s="53"/>
      <c r="H216" s="53"/>
      <c r="I216" s="53"/>
      <c r="J216" s="54"/>
      <c r="K216" s="55"/>
      <c r="L216" s="54"/>
      <c r="M216" s="56"/>
    </row>
    <row r="217" spans="1:13">
      <c r="B217" t="s">
        <v>10</v>
      </c>
      <c r="K217" s="57"/>
      <c r="L217" s="57"/>
      <c r="M217" s="57"/>
    </row>
    <row r="218" spans="1:13">
      <c r="A218" t="s">
        <v>67</v>
      </c>
      <c r="H218" t="s">
        <v>68</v>
      </c>
    </row>
    <row r="219" spans="1:13">
      <c r="B219">
        <v>1</v>
      </c>
      <c r="C219" s="34" t="s">
        <v>29</v>
      </c>
      <c r="D219" s="34"/>
      <c r="E219" s="58">
        <f>+L214</f>
        <v>190000</v>
      </c>
      <c r="H219">
        <v>1</v>
      </c>
      <c r="I219" s="34" t="s">
        <v>29</v>
      </c>
      <c r="L219" s="59">
        <f>+L214</f>
        <v>190000</v>
      </c>
    </row>
    <row r="220" spans="1:13">
      <c r="A220" s="60"/>
      <c r="C220" s="34"/>
      <c r="I220" s="34"/>
    </row>
    <row r="221" spans="1:13">
      <c r="G221" t="s">
        <v>10</v>
      </c>
    </row>
    <row r="222" spans="1:13">
      <c r="B222" s="61" t="s">
        <v>69</v>
      </c>
      <c r="C222" s="61"/>
      <c r="H222" s="62" t="s">
        <v>70</v>
      </c>
      <c r="I222" s="62"/>
      <c r="J222" s="62"/>
      <c r="K222" s="62"/>
      <c r="L222" s="62"/>
    </row>
    <row r="223" spans="1:13">
      <c r="H223" s="63"/>
      <c r="I223" s="63"/>
      <c r="J223" s="63"/>
      <c r="K223" s="63"/>
      <c r="L223" s="63"/>
    </row>
    <row r="224" spans="1:13">
      <c r="H224" s="63"/>
      <c r="I224" s="63"/>
      <c r="J224" s="63"/>
      <c r="K224" s="63"/>
      <c r="L224" s="63"/>
    </row>
    <row r="225" spans="1:13">
      <c r="H225" s="63"/>
      <c r="I225" s="63"/>
      <c r="J225" s="63"/>
      <c r="K225" s="63"/>
      <c r="L225" s="63"/>
    </row>
    <row r="227" spans="1:13">
      <c r="B227" s="61" t="s">
        <v>71</v>
      </c>
      <c r="C227" s="61"/>
      <c r="H227" s="62" t="str">
        <f>E166</f>
        <v>MUH. ADLIM JANIB AMNUR</v>
      </c>
      <c r="I227" s="62"/>
      <c r="J227" s="62"/>
      <c r="K227" s="62"/>
      <c r="L227" s="62"/>
    </row>
    <row r="228" spans="1:13">
      <c r="B228" s="61"/>
      <c r="C228" s="61"/>
      <c r="H228" s="62"/>
      <c r="I228" s="62"/>
      <c r="J228" s="62"/>
      <c r="K228" s="62"/>
      <c r="L228" s="62"/>
    </row>
    <row r="229" spans="1:13">
      <c r="B229" s="61"/>
      <c r="C229" s="61"/>
      <c r="H229" s="62"/>
      <c r="I229" s="62"/>
      <c r="J229" s="62"/>
      <c r="K229" s="62"/>
      <c r="L229" s="62"/>
    </row>
    <row r="230" ht="16.2" spans="1:13">
      <c r="A230" s="2"/>
      <c r="B230" s="5"/>
      <c r="C230" s="6"/>
      <c r="D230" s="3"/>
      <c r="E230" s="2"/>
      <c r="F230" s="2"/>
      <c r="G230" s="2"/>
      <c r="H230" s="2"/>
      <c r="I230" s="3"/>
      <c r="J230" s="3"/>
      <c r="K230" s="3"/>
      <c r="L230" s="3"/>
      <c r="M230" s="3"/>
    </row>
    <row r="231" ht="15.6" spans="1:13">
      <c r="A231" s="7"/>
      <c r="B231" s="8"/>
      <c r="C231" s="7"/>
      <c r="D231" s="9"/>
      <c r="E231" s="9"/>
      <c r="F231" s="10"/>
      <c r="G231" s="10"/>
      <c r="H231" s="9"/>
      <c r="I231" s="10"/>
      <c r="J231" s="10"/>
      <c r="K231" s="11"/>
      <c r="L231" s="7"/>
      <c r="M231" s="3"/>
    </row>
    <row r="232" ht="15.6" spans="1:13">
      <c r="A232" s="12"/>
      <c r="B232" s="13"/>
      <c r="C232" s="7"/>
      <c r="D232" s="9"/>
      <c r="E232" s="9"/>
      <c r="F232" s="10"/>
      <c r="G232" s="10"/>
      <c r="H232" s="9"/>
      <c r="I232" s="10"/>
      <c r="J232" s="10"/>
      <c r="K232" s="7"/>
      <c r="L232" s="73" t="s">
        <v>0</v>
      </c>
      <c r="M232" s="3"/>
    </row>
    <row r="233" ht="16.2" spans="1:13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</row>
    <row r="234" ht="15.6" spans="1:13">
      <c r="A234" s="14" t="s">
        <v>1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6" ht="15" spans="1:13">
      <c r="C236" s="1" t="s">
        <v>2</v>
      </c>
      <c r="D236" t="s">
        <v>3</v>
      </c>
      <c r="E236" s="15"/>
    </row>
    <row r="237" spans="1:13">
      <c r="C237" s="1" t="s">
        <v>4</v>
      </c>
      <c r="D237" t="s">
        <v>3</v>
      </c>
      <c r="E237" s="16">
        <v>46292</v>
      </c>
      <c r="F237" s="17" t="s">
        <v>5</v>
      </c>
      <c r="G237" s="18">
        <v>46294</v>
      </c>
      <c r="H237" s="18"/>
    </row>
    <row r="238" ht="15" spans="1:13">
      <c r="C238" s="1" t="s">
        <v>6</v>
      </c>
      <c r="D238" t="s">
        <v>3</v>
      </c>
      <c r="E238" s="15" t="s">
        <v>100</v>
      </c>
    </row>
    <row r="239" spans="1:13">
      <c r="C239" s="19" t="s">
        <v>8</v>
      </c>
      <c r="D239" t="s">
        <v>3</v>
      </c>
      <c r="E239" s="20" t="s">
        <v>101</v>
      </c>
      <c r="F239" s="20"/>
      <c r="G239" s="20"/>
      <c r="H239" s="20"/>
      <c r="I239" s="20"/>
      <c r="J239" s="20"/>
      <c r="K239" s="20"/>
      <c r="L239" s="20"/>
      <c r="M239" s="20"/>
    </row>
    <row r="240" spans="1:13">
      <c r="C240"/>
      <c r="E240" s="20"/>
      <c r="F240" s="20"/>
      <c r="G240" s="20"/>
      <c r="H240" s="20"/>
      <c r="I240" s="20"/>
      <c r="J240" s="20"/>
      <c r="K240" s="20"/>
      <c r="L240" s="20"/>
      <c r="M240" s="20"/>
    </row>
    <row r="241" spans="1:13">
      <c r="C241" s="1" t="s">
        <v>11</v>
      </c>
      <c r="D241" t="s">
        <v>3</v>
      </c>
      <c r="E241" s="21" t="s">
        <v>12</v>
      </c>
      <c r="F241" s="16"/>
      <c r="G241" s="17"/>
      <c r="H241" s="18"/>
      <c r="I241" s="18"/>
    </row>
    <row r="242" ht="15.6" spans="1:13">
      <c r="C242" s="1" t="s">
        <v>16</v>
      </c>
      <c r="D242" t="s">
        <v>3</v>
      </c>
      <c r="E242" s="22" t="s">
        <v>99</v>
      </c>
      <c r="F242" s="22"/>
      <c r="G242" s="22"/>
      <c r="H242" s="22"/>
      <c r="I242" s="22"/>
    </row>
    <row r="243" ht="15.6" spans="1:13">
      <c r="C243" s="1" t="s">
        <v>18</v>
      </c>
      <c r="D243" t="s">
        <v>3</v>
      </c>
      <c r="E243" s="23" t="s">
        <v>19</v>
      </c>
      <c r="F243" s="24"/>
    </row>
    <row r="244" spans="1:13">
      <c r="E244" s="24"/>
    </row>
    <row r="245" spans="1:13">
      <c r="A245" s="25" t="s">
        <v>20</v>
      </c>
      <c r="B245" s="26" t="s">
        <v>21</v>
      </c>
      <c r="C245" s="27"/>
      <c r="D245" s="27"/>
      <c r="E245" s="27"/>
      <c r="F245" s="27"/>
      <c r="G245" s="27"/>
      <c r="H245" s="27"/>
      <c r="I245" s="27"/>
      <c r="J245" s="28"/>
      <c r="K245" s="26" t="s">
        <v>22</v>
      </c>
      <c r="L245" s="28"/>
      <c r="M245" s="29" t="s">
        <v>23</v>
      </c>
    </row>
    <row r="246" spans="1:13">
      <c r="A246" s="30"/>
      <c r="K246" s="31"/>
      <c r="L246" s="32"/>
      <c r="M246" s="30"/>
    </row>
    <row r="247" spans="1:13">
      <c r="A247" s="33" t="s">
        <v>24</v>
      </c>
      <c r="B247" t="s">
        <v>25</v>
      </c>
      <c r="K247" s="31"/>
      <c r="L247" s="32"/>
      <c r="M247" s="30"/>
    </row>
    <row r="248" spans="1:13">
      <c r="A248" s="33"/>
      <c r="K248" s="31"/>
      <c r="L248" s="32"/>
      <c r="M248" s="30"/>
    </row>
    <row r="249" spans="1:13">
      <c r="A249" s="33"/>
      <c r="B249" s="34">
        <v>1</v>
      </c>
      <c r="C249" s="34" t="s">
        <v>26</v>
      </c>
      <c r="K249" s="31"/>
      <c r="L249" s="32"/>
      <c r="M249" s="30"/>
    </row>
    <row r="250" spans="1:13">
      <c r="A250" s="33"/>
      <c r="B250" s="34"/>
      <c r="C250" s="1" t="s">
        <v>27</v>
      </c>
      <c r="G250">
        <v>0</v>
      </c>
      <c r="H250" s="1" t="s">
        <v>28</v>
      </c>
      <c r="I250" s="35">
        <v>0</v>
      </c>
      <c r="K250" s="31" t="s">
        <v>29</v>
      </c>
      <c r="L250" s="36">
        <f t="shared" ref="L250:L252" si="45">+I250*G250</f>
        <v>0</v>
      </c>
      <c r="M250" s="37"/>
    </row>
    <row r="251" spans="1:13">
      <c r="A251" s="33"/>
      <c r="B251" s="34"/>
      <c r="C251" s="1" t="s">
        <v>30</v>
      </c>
      <c r="G251">
        <v>0</v>
      </c>
      <c r="H251" t="s">
        <v>28</v>
      </c>
      <c r="I251" s="35">
        <v>0</v>
      </c>
      <c r="J251" s="38"/>
      <c r="K251" s="31" t="s">
        <v>29</v>
      </c>
      <c r="L251" s="36">
        <f t="shared" si="45"/>
        <v>0</v>
      </c>
      <c r="M251" s="39"/>
    </row>
    <row r="252" spans="1:13">
      <c r="A252" s="33"/>
      <c r="B252" s="34"/>
      <c r="C252" s="1" t="s">
        <v>31</v>
      </c>
      <c r="G252">
        <v>0</v>
      </c>
      <c r="H252" t="s">
        <v>28</v>
      </c>
      <c r="I252" s="35">
        <v>0</v>
      </c>
      <c r="K252" s="31" t="s">
        <v>29</v>
      </c>
      <c r="L252" s="36">
        <f t="shared" si="45"/>
        <v>0</v>
      </c>
      <c r="M252" s="37"/>
    </row>
    <row r="253" spans="1:13">
      <c r="A253" s="33"/>
      <c r="B253" s="34">
        <v>2</v>
      </c>
      <c r="C253" s="34" t="s">
        <v>32</v>
      </c>
      <c r="D253" s="34"/>
      <c r="K253" s="31"/>
      <c r="L253" s="40"/>
      <c r="M253" s="30"/>
    </row>
    <row r="254" spans="1:13">
      <c r="A254" s="33"/>
      <c r="B254" s="34"/>
      <c r="C254" s="1" t="s">
        <v>33</v>
      </c>
      <c r="D254" s="41"/>
      <c r="E254">
        <v>3</v>
      </c>
      <c r="F254" t="s">
        <v>34</v>
      </c>
      <c r="G254" s="38">
        <v>1</v>
      </c>
      <c r="H254" t="s">
        <v>28</v>
      </c>
      <c r="I254" s="42">
        <v>190000</v>
      </c>
      <c r="K254" s="31" t="s">
        <v>29</v>
      </c>
      <c r="L254" s="43">
        <f t="shared" ref="L254:L256" si="46">I254*G254*E254</f>
        <v>570000</v>
      </c>
      <c r="M254" s="37"/>
    </row>
    <row r="255" spans="1:13">
      <c r="A255" s="33"/>
      <c r="B255" s="34"/>
      <c r="C255" s="1" t="s">
        <v>35</v>
      </c>
      <c r="D255" s="41"/>
      <c r="E255">
        <f>(E254-1)</f>
        <v>2</v>
      </c>
      <c r="F255" t="s">
        <v>34</v>
      </c>
      <c r="G255" s="38">
        <v>1</v>
      </c>
      <c r="H255" t="str">
        <f t="shared" ref="H255:H259" si="47">+H254</f>
        <v>x Rp.</v>
      </c>
      <c r="I255" s="42">
        <v>50000</v>
      </c>
      <c r="K255" s="31" t="str">
        <f t="shared" ref="K255:K259" si="48">+K254</f>
        <v>Rp.</v>
      </c>
      <c r="L255" s="43">
        <f t="shared" si="46"/>
        <v>100000</v>
      </c>
      <c r="M255" s="37"/>
    </row>
    <row r="256" spans="1:13">
      <c r="A256" s="33"/>
      <c r="B256" s="34"/>
      <c r="C256" s="1" t="s">
        <v>36</v>
      </c>
      <c r="D256" s="41"/>
      <c r="E256">
        <v>0</v>
      </c>
      <c r="F256" t="s">
        <v>34</v>
      </c>
      <c r="G256" s="38">
        <v>1</v>
      </c>
      <c r="H256" t="str">
        <f t="shared" si="47"/>
        <v>x Rp.</v>
      </c>
      <c r="I256" s="42">
        <v>0</v>
      </c>
      <c r="K256" s="31" t="str">
        <f t="shared" si="48"/>
        <v>Rp.</v>
      </c>
      <c r="L256" s="43">
        <f t="shared" si="46"/>
        <v>0</v>
      </c>
      <c r="M256" s="44"/>
    </row>
    <row r="257" spans="1:13">
      <c r="A257" s="33"/>
      <c r="B257" s="34">
        <v>3</v>
      </c>
      <c r="C257" s="34" t="s">
        <v>37</v>
      </c>
      <c r="D257" s="41"/>
      <c r="G257" s="38" t="s">
        <v>38</v>
      </c>
      <c r="I257" s="42"/>
      <c r="J257" s="1" t="s">
        <v>10</v>
      </c>
      <c r="K257" s="31"/>
      <c r="L257" s="40"/>
      <c r="M257" s="37"/>
    </row>
    <row r="258" spans="1:13">
      <c r="A258" s="33"/>
      <c r="B258" s="34"/>
      <c r="C258" s="1" t="s">
        <v>33</v>
      </c>
      <c r="D258" s="41"/>
      <c r="E258">
        <v>0</v>
      </c>
      <c r="F258" t="s">
        <v>34</v>
      </c>
      <c r="G258" s="38">
        <v>1</v>
      </c>
      <c r="H258" t="str">
        <f>+H256</f>
        <v>x Rp.</v>
      </c>
      <c r="I258" s="42">
        <v>0</v>
      </c>
      <c r="K258" s="31" t="s">
        <v>29</v>
      </c>
      <c r="L258" s="40">
        <f t="shared" ref="L258:L260" si="49">+E258*G258*I258</f>
        <v>0</v>
      </c>
      <c r="M258" s="39"/>
    </row>
    <row r="259" spans="1:13">
      <c r="A259" s="33"/>
      <c r="B259" s="34"/>
      <c r="C259" s="1" t="s">
        <v>35</v>
      </c>
      <c r="D259" s="41"/>
      <c r="E259">
        <v>0</v>
      </c>
      <c r="F259" t="s">
        <v>34</v>
      </c>
      <c r="G259" s="38">
        <v>1</v>
      </c>
      <c r="H259" t="str">
        <f t="shared" si="47"/>
        <v>x Rp.</v>
      </c>
      <c r="I259" s="42">
        <v>0</v>
      </c>
      <c r="K259" s="31" t="str">
        <f t="shared" si="48"/>
        <v>Rp.</v>
      </c>
      <c r="L259" s="40">
        <f t="shared" si="49"/>
        <v>0</v>
      </c>
      <c r="M259" s="37"/>
    </row>
    <row r="260" spans="1:13">
      <c r="A260" s="33"/>
      <c r="B260" s="34"/>
      <c r="C260" s="1" t="s">
        <v>36</v>
      </c>
      <c r="D260" s="41"/>
      <c r="E260">
        <v>0</v>
      </c>
      <c r="F260" t="s">
        <v>34</v>
      </c>
      <c r="G260" s="38">
        <v>1</v>
      </c>
      <c r="H260" t="s">
        <v>28</v>
      </c>
      <c r="I260" s="42">
        <v>0</v>
      </c>
      <c r="K260" s="31" t="s">
        <v>29</v>
      </c>
      <c r="L260" s="40">
        <f t="shared" si="49"/>
        <v>0</v>
      </c>
      <c r="M260" s="30"/>
    </row>
    <row r="261" spans="1:13">
      <c r="A261" s="33"/>
      <c r="B261" s="34">
        <v>4</v>
      </c>
      <c r="C261" s="34" t="s">
        <v>39</v>
      </c>
      <c r="D261" s="41"/>
      <c r="G261" s="38" t="s">
        <v>38</v>
      </c>
      <c r="I261" s="42"/>
      <c r="J261" s="1" t="s">
        <v>10</v>
      </c>
      <c r="K261" s="31"/>
      <c r="L261" s="40"/>
      <c r="M261" s="37"/>
    </row>
    <row r="262" spans="1:13">
      <c r="A262" s="33"/>
      <c r="B262" s="34"/>
      <c r="C262" s="1" t="s">
        <v>40</v>
      </c>
      <c r="D262" s="41"/>
      <c r="E262">
        <v>0</v>
      </c>
      <c r="F262" t="s">
        <v>34</v>
      </c>
      <c r="G262" s="38">
        <v>1</v>
      </c>
      <c r="H262" t="str">
        <f>+H263</f>
        <v>x Rp.</v>
      </c>
      <c r="I262" s="42">
        <v>0</v>
      </c>
      <c r="K262" s="31" t="str">
        <f>+K260</f>
        <v>Rp.</v>
      </c>
      <c r="L262" s="40">
        <f t="shared" ref="L262:L264" si="50">+E262*G262*I262</f>
        <v>0</v>
      </c>
      <c r="M262" s="45"/>
    </row>
    <row r="263" spans="1:13">
      <c r="A263" s="33"/>
      <c r="B263" s="34"/>
      <c r="C263" s="1" t="s">
        <v>41</v>
      </c>
      <c r="D263" s="41"/>
      <c r="E263">
        <v>0</v>
      </c>
      <c r="F263" t="s">
        <v>34</v>
      </c>
      <c r="G263" s="38">
        <v>1</v>
      </c>
      <c r="H263" t="str">
        <f>+H260</f>
        <v>x Rp.</v>
      </c>
      <c r="I263" s="42">
        <v>0</v>
      </c>
      <c r="K263" s="31" t="str">
        <f t="shared" ref="K263:K268" si="51">+K262</f>
        <v>Rp.</v>
      </c>
      <c r="L263" s="40">
        <f t="shared" si="50"/>
        <v>0</v>
      </c>
      <c r="M263" s="39"/>
    </row>
    <row r="264" spans="1:13">
      <c r="A264" s="33"/>
      <c r="B264" s="34"/>
      <c r="C264" s="1" t="s">
        <v>42</v>
      </c>
      <c r="D264" s="41"/>
      <c r="E264">
        <v>0</v>
      </c>
      <c r="F264" t="s">
        <v>34</v>
      </c>
      <c r="G264" s="38">
        <v>1</v>
      </c>
      <c r="H264" t="str">
        <f>+H263</f>
        <v>x Rp.</v>
      </c>
      <c r="I264" s="42">
        <v>0</v>
      </c>
      <c r="K264" s="31" t="str">
        <f t="shared" si="51"/>
        <v>Rp.</v>
      </c>
      <c r="L264" s="40">
        <f t="shared" si="50"/>
        <v>0</v>
      </c>
      <c r="M264" s="37"/>
    </row>
    <row r="265" spans="1:13">
      <c r="A265" s="33"/>
      <c r="B265" s="34">
        <v>5</v>
      </c>
      <c r="C265" s="34" t="s">
        <v>43</v>
      </c>
      <c r="D265" s="41"/>
      <c r="G265" s="38" t="s">
        <v>38</v>
      </c>
      <c r="I265" s="42"/>
      <c r="J265" s="1" t="s">
        <v>10</v>
      </c>
      <c r="K265" s="31"/>
      <c r="L265" s="40"/>
      <c r="M265" s="37"/>
    </row>
    <row r="266" spans="1:13">
      <c r="A266" s="33"/>
      <c r="B266" s="34"/>
      <c r="C266" s="1" t="s">
        <v>44</v>
      </c>
      <c r="D266" s="41"/>
      <c r="E266">
        <v>0</v>
      </c>
      <c r="F266" t="str">
        <f>+F267</f>
        <v>hari x</v>
      </c>
      <c r="G266" s="38">
        <v>1</v>
      </c>
      <c r="H266" t="str">
        <f>+H267</f>
        <v>x Rp.</v>
      </c>
      <c r="I266" s="42">
        <v>0</v>
      </c>
      <c r="K266" s="31" t="str">
        <f>+K264</f>
        <v>Rp.</v>
      </c>
      <c r="L266" s="40">
        <f t="shared" ref="L266:L268" si="52">+E266*G266*I266</f>
        <v>0</v>
      </c>
      <c r="M266" s="45"/>
    </row>
    <row r="267" spans="1:13">
      <c r="A267" s="33"/>
      <c r="B267" s="34"/>
      <c r="C267" s="1" t="s">
        <v>45</v>
      </c>
      <c r="D267" s="41"/>
      <c r="E267">
        <v>0</v>
      </c>
      <c r="F267" t="str">
        <f>+F264</f>
        <v>hari x</v>
      </c>
      <c r="G267" s="38">
        <v>1</v>
      </c>
      <c r="H267" t="str">
        <f>+H264</f>
        <v>x Rp.</v>
      </c>
      <c r="I267" s="42">
        <v>0</v>
      </c>
      <c r="K267" s="31" t="str">
        <f t="shared" si="51"/>
        <v>Rp.</v>
      </c>
      <c r="L267" s="40">
        <f t="shared" si="52"/>
        <v>0</v>
      </c>
      <c r="M267" s="39"/>
    </row>
    <row r="268" spans="1:13">
      <c r="A268" s="33"/>
      <c r="B268" s="34">
        <v>6</v>
      </c>
      <c r="C268" s="34" t="s">
        <v>46</v>
      </c>
      <c r="D268" s="41"/>
      <c r="E268">
        <v>0</v>
      </c>
      <c r="F268" t="s">
        <v>47</v>
      </c>
      <c r="G268" s="38">
        <v>1</v>
      </c>
      <c r="H268" t="str">
        <f>+H266</f>
        <v>x Rp.</v>
      </c>
      <c r="I268" s="42">
        <v>0</v>
      </c>
      <c r="K268" s="31" t="str">
        <f t="shared" si="51"/>
        <v>Rp.</v>
      </c>
      <c r="L268" s="40">
        <f t="shared" si="52"/>
        <v>0</v>
      </c>
      <c r="M268" s="37"/>
    </row>
    <row r="269" spans="1:13">
      <c r="A269" s="33"/>
      <c r="B269" s="34"/>
      <c r="D269" s="41"/>
      <c r="G269" s="38"/>
      <c r="I269" s="42"/>
      <c r="K269" s="31"/>
      <c r="L269" s="40"/>
      <c r="M269" s="30"/>
    </row>
    <row r="270" spans="1:13">
      <c r="A270" s="33"/>
      <c r="C270" s="1" t="s">
        <v>10</v>
      </c>
      <c r="D270" t="s">
        <v>10</v>
      </c>
      <c r="K270" s="31"/>
      <c r="L270" s="40"/>
      <c r="M270" s="30"/>
    </row>
    <row r="271" spans="1:13">
      <c r="A271" s="33"/>
      <c r="B271" s="34" t="s">
        <v>48</v>
      </c>
      <c r="E271" t="s">
        <v>10</v>
      </c>
      <c r="K271" s="31" t="s">
        <v>29</v>
      </c>
      <c r="L271" s="46">
        <f>SUM(L250:L268)</f>
        <v>670000</v>
      </c>
      <c r="M271" s="30"/>
    </row>
    <row r="272" spans="1:13">
      <c r="A272" s="33"/>
      <c r="D272" t="s">
        <v>10</v>
      </c>
      <c r="E272" t="s">
        <v>10</v>
      </c>
      <c r="J272" t="s">
        <v>10</v>
      </c>
      <c r="K272" s="31" t="s">
        <v>10</v>
      </c>
      <c r="L272" s="40"/>
      <c r="M272" s="30"/>
    </row>
    <row r="273" spans="1:13">
      <c r="A273" s="33" t="s">
        <v>49</v>
      </c>
      <c r="B273" s="34" t="s">
        <v>50</v>
      </c>
      <c r="K273" s="31"/>
      <c r="L273" s="40"/>
      <c r="M273" s="30"/>
    </row>
    <row r="274" spans="1:13">
      <c r="A274" s="33"/>
      <c r="B274" s="34">
        <v>1</v>
      </c>
      <c r="C274" s="34" t="s">
        <v>51</v>
      </c>
      <c r="K274" s="31"/>
      <c r="L274" s="40"/>
      <c r="M274" s="30"/>
    </row>
    <row r="275" spans="1:13">
      <c r="A275" s="33"/>
      <c r="C275" s="1" t="s">
        <v>52</v>
      </c>
      <c r="K275" s="31" t="s">
        <v>29</v>
      </c>
      <c r="L275" s="40">
        <v>0</v>
      </c>
      <c r="M275" s="30"/>
    </row>
    <row r="276" spans="1:13">
      <c r="A276" s="33"/>
      <c r="C276" s="1" t="s">
        <v>53</v>
      </c>
      <c r="K276" s="31" t="s">
        <v>29</v>
      </c>
      <c r="L276" s="40">
        <v>0</v>
      </c>
      <c r="M276" s="30"/>
    </row>
    <row r="277" spans="1:13">
      <c r="A277" s="33"/>
      <c r="C277" s="1" t="s">
        <v>54</v>
      </c>
      <c r="K277" s="31" t="s">
        <v>29</v>
      </c>
      <c r="L277" s="40">
        <v>0</v>
      </c>
      <c r="M277" s="30"/>
    </row>
    <row r="278" spans="1:13">
      <c r="A278" s="33"/>
      <c r="K278" s="31" t="s">
        <v>29</v>
      </c>
      <c r="L278" s="40">
        <v>0</v>
      </c>
      <c r="M278" s="30"/>
    </row>
    <row r="279" spans="1:13">
      <c r="A279" s="33"/>
      <c r="B279" s="34">
        <v>2</v>
      </c>
      <c r="C279" s="34" t="s">
        <v>55</v>
      </c>
      <c r="K279" s="31"/>
      <c r="L279" s="40"/>
      <c r="M279" s="30"/>
    </row>
    <row r="280" spans="1:13">
      <c r="A280" s="33"/>
      <c r="C280" s="1" t="s">
        <v>56</v>
      </c>
      <c r="D280" t="s">
        <v>57</v>
      </c>
      <c r="E280" t="s">
        <v>58</v>
      </c>
      <c r="F280" t="s">
        <v>34</v>
      </c>
      <c r="H280" t="s">
        <v>59</v>
      </c>
      <c r="I280" t="s">
        <v>60</v>
      </c>
      <c r="K280" s="31" t="s">
        <v>29</v>
      </c>
      <c r="L280" s="40">
        <v>0</v>
      </c>
      <c r="M280" s="30"/>
    </row>
    <row r="281" spans="1:13">
      <c r="A281" s="33"/>
      <c r="C281" s="1" t="s">
        <v>61</v>
      </c>
      <c r="K281" s="31"/>
      <c r="L281" s="40"/>
      <c r="M281" s="30"/>
    </row>
    <row r="282" spans="1:13">
      <c r="A282" s="33"/>
      <c r="B282" s="34">
        <v>3</v>
      </c>
      <c r="C282" s="1" t="s">
        <v>62</v>
      </c>
      <c r="K282" s="31"/>
      <c r="L282" s="40"/>
      <c r="M282" s="30"/>
    </row>
    <row r="283" spans="1:13">
      <c r="A283" s="33"/>
      <c r="B283" s="34"/>
      <c r="C283" s="1" t="s">
        <v>40</v>
      </c>
      <c r="E283">
        <v>0</v>
      </c>
      <c r="F283" t="str">
        <f>+F266</f>
        <v>hari x</v>
      </c>
      <c r="G283" s="38">
        <v>1</v>
      </c>
      <c r="H283">
        <f>+H284</f>
        <v>0</v>
      </c>
      <c r="I283" s="42">
        <v>0</v>
      </c>
      <c r="K283" s="31" t="str">
        <f>+K280</f>
        <v>Rp.</v>
      </c>
      <c r="L283" s="40">
        <f t="shared" ref="L283:L285" si="53">+E283*G283*I283</f>
        <v>0</v>
      </c>
      <c r="M283" s="30"/>
    </row>
    <row r="284" spans="1:13">
      <c r="A284" s="33"/>
      <c r="B284" s="34"/>
      <c r="C284" s="1" t="s">
        <v>41</v>
      </c>
      <c r="E284">
        <v>0</v>
      </c>
      <c r="F284" t="str">
        <f>+F283</f>
        <v>hari x</v>
      </c>
      <c r="G284" s="38">
        <v>1</v>
      </c>
      <c r="H284">
        <f>+H281</f>
        <v>0</v>
      </c>
      <c r="I284" s="42">
        <v>0</v>
      </c>
      <c r="K284" s="31" t="str">
        <f>+K283</f>
        <v>Rp.</v>
      </c>
      <c r="L284" s="40">
        <f t="shared" si="53"/>
        <v>0</v>
      </c>
      <c r="M284" s="30"/>
    </row>
    <row r="285" spans="1:13">
      <c r="A285" s="33"/>
      <c r="B285" s="34"/>
      <c r="C285" s="1" t="s">
        <v>42</v>
      </c>
      <c r="E285">
        <v>0</v>
      </c>
      <c r="F285" t="str">
        <f t="shared" ref="F285:K285" si="54">+F284</f>
        <v>hari x</v>
      </c>
      <c r="G285" s="38">
        <v>0.5</v>
      </c>
      <c r="H285">
        <f t="shared" si="54"/>
        <v>0</v>
      </c>
      <c r="I285" s="42">
        <v>0</v>
      </c>
      <c r="K285" s="31" t="str">
        <f t="shared" si="54"/>
        <v>Rp.</v>
      </c>
      <c r="L285" s="40">
        <f t="shared" si="53"/>
        <v>0</v>
      </c>
      <c r="M285" s="30"/>
    </row>
    <row r="286" spans="1:13">
      <c r="A286" s="33"/>
      <c r="B286">
        <v>4</v>
      </c>
      <c r="C286" s="1" t="s">
        <v>63</v>
      </c>
      <c r="G286" s="41"/>
      <c r="I286" s="1" t="s">
        <v>10</v>
      </c>
      <c r="K286" s="31"/>
      <c r="L286" s="40"/>
      <c r="M286" s="30"/>
    </row>
    <row r="287" spans="1:13">
      <c r="A287" s="33"/>
      <c r="K287" s="31"/>
      <c r="L287" s="40"/>
      <c r="M287" s="30"/>
    </row>
    <row r="288" spans="1:13">
      <c r="A288" s="33"/>
      <c r="B288" s="34" t="s">
        <v>64</v>
      </c>
      <c r="C288" s="34"/>
      <c r="K288" s="31" t="s">
        <v>29</v>
      </c>
      <c r="L288" s="46">
        <f>SUM(L275:L287)</f>
        <v>0</v>
      </c>
      <c r="M288" s="30"/>
    </row>
    <row r="289" spans="1:13">
      <c r="A289" s="33"/>
      <c r="K289" s="31"/>
      <c r="L289" s="40"/>
      <c r="M289" s="30"/>
    </row>
    <row r="290" ht="15.15" spans="1:13">
      <c r="A290" s="33" t="s">
        <v>65</v>
      </c>
      <c r="B290" s="34" t="s">
        <v>66</v>
      </c>
      <c r="C290" s="34"/>
      <c r="K290" s="31" t="s">
        <v>29</v>
      </c>
      <c r="L290" s="46">
        <f>L288+L271</f>
        <v>670000</v>
      </c>
      <c r="M290" s="47"/>
    </row>
    <row r="291" spans="1:13">
      <c r="A291" s="30"/>
      <c r="G291" t="s">
        <v>10</v>
      </c>
      <c r="K291" s="48"/>
      <c r="L291" s="49"/>
      <c r="M291" s="47"/>
    </row>
    <row r="292" spans="1:13">
      <c r="A292" s="50"/>
      <c r="B292" s="51"/>
      <c r="C292" s="52"/>
      <c r="D292" s="52"/>
      <c r="E292" s="52"/>
      <c r="F292" s="53"/>
      <c r="G292" s="53"/>
      <c r="H292" s="53"/>
      <c r="I292" s="53"/>
      <c r="J292" s="54"/>
      <c r="K292" s="55"/>
      <c r="L292" s="54"/>
      <c r="M292" s="56"/>
    </row>
    <row r="293" spans="1:13">
      <c r="B293" t="s">
        <v>10</v>
      </c>
      <c r="K293" s="57"/>
      <c r="L293" s="57"/>
      <c r="M293" s="57"/>
    </row>
    <row r="294" spans="1:13">
      <c r="A294" t="s">
        <v>67</v>
      </c>
      <c r="H294" t="s">
        <v>68</v>
      </c>
    </row>
    <row r="295" spans="1:13">
      <c r="B295">
        <v>1</v>
      </c>
      <c r="C295" s="34" t="s">
        <v>29</v>
      </c>
      <c r="D295" s="34"/>
      <c r="E295" s="58">
        <f>+L290</f>
        <v>670000</v>
      </c>
      <c r="H295">
        <v>1</v>
      </c>
      <c r="I295" s="34" t="s">
        <v>29</v>
      </c>
      <c r="L295" s="59">
        <f>+L290</f>
        <v>670000</v>
      </c>
    </row>
    <row r="296" spans="1:13">
      <c r="A296" s="60"/>
      <c r="C296" s="34"/>
      <c r="I296" s="34"/>
    </row>
    <row r="297" spans="1:13">
      <c r="G297" t="s">
        <v>10</v>
      </c>
    </row>
    <row r="298" spans="1:13">
      <c r="B298" s="61" t="s">
        <v>69</v>
      </c>
      <c r="C298" s="61"/>
      <c r="H298" s="62" t="s">
        <v>70</v>
      </c>
      <c r="I298" s="62"/>
      <c r="J298" s="62"/>
      <c r="K298" s="62"/>
      <c r="L298" s="62"/>
    </row>
    <row r="299" spans="1:13">
      <c r="H299" s="63"/>
      <c r="I299" s="63"/>
      <c r="J299" s="63"/>
      <c r="K299" s="63"/>
      <c r="L299" s="63"/>
    </row>
    <row r="300" spans="1:13">
      <c r="H300" s="63"/>
      <c r="I300" s="63"/>
      <c r="J300" s="63"/>
      <c r="K300" s="63"/>
      <c r="L300" s="63"/>
    </row>
    <row r="301" spans="1:13">
      <c r="H301" s="63"/>
      <c r="I301" s="63"/>
      <c r="J301" s="63"/>
      <c r="K301" s="63"/>
      <c r="L301" s="63"/>
    </row>
    <row r="303" spans="1:13">
      <c r="B303" s="61" t="s">
        <v>71</v>
      </c>
      <c r="C303" s="61"/>
      <c r="H303" s="62" t="str">
        <f>E242</f>
        <v>MUH. ADLIM JANIB AMNUR</v>
      </c>
      <c r="I303" s="62"/>
      <c r="J303" s="62"/>
      <c r="K303" s="62"/>
      <c r="L303" s="62"/>
    </row>
  </sheetData>
  <mergeCells count="55">
    <mergeCell ref="A7:M7"/>
    <mergeCell ref="G10:I10"/>
    <mergeCell ref="H14:I14"/>
    <mergeCell ref="E15:I15"/>
    <mergeCell ref="B18:J18"/>
    <mergeCell ref="K18:L18"/>
    <mergeCell ref="B65:E65"/>
    <mergeCell ref="K66:M66"/>
    <mergeCell ref="B71:C71"/>
    <mergeCell ref="H71:L71"/>
    <mergeCell ref="B75:C75"/>
    <mergeCell ref="H75:L75"/>
    <mergeCell ref="A82:M82"/>
    <mergeCell ref="G85:I85"/>
    <mergeCell ref="H89:I89"/>
    <mergeCell ref="E90:I90"/>
    <mergeCell ref="B93:J93"/>
    <mergeCell ref="K93:L93"/>
    <mergeCell ref="B140:E140"/>
    <mergeCell ref="K141:M141"/>
    <mergeCell ref="B146:C146"/>
    <mergeCell ref="H146:L146"/>
    <mergeCell ref="B151:C151"/>
    <mergeCell ref="H151:L151"/>
    <mergeCell ref="A158:M158"/>
    <mergeCell ref="G161:H161"/>
    <mergeCell ref="H165:I165"/>
    <mergeCell ref="E166:I166"/>
    <mergeCell ref="B169:J169"/>
    <mergeCell ref="K169:L169"/>
    <mergeCell ref="B216:E216"/>
    <mergeCell ref="K217:M217"/>
    <mergeCell ref="B222:C222"/>
    <mergeCell ref="H222:L222"/>
    <mergeCell ref="B227:C227"/>
    <mergeCell ref="H227:L227"/>
    <mergeCell ref="A234:M234"/>
    <mergeCell ref="G237:H237"/>
    <mergeCell ref="H241:I241"/>
    <mergeCell ref="E242:I242"/>
    <mergeCell ref="B245:J245"/>
    <mergeCell ref="K245:L245"/>
    <mergeCell ref="B292:E292"/>
    <mergeCell ref="K293:M293"/>
    <mergeCell ref="B298:C298"/>
    <mergeCell ref="H298:L298"/>
    <mergeCell ref="B303:C303"/>
    <mergeCell ref="H303:L303"/>
    <mergeCell ref="C152:E153"/>
    <mergeCell ref="E87:M88"/>
    <mergeCell ref="C76:E77"/>
    <mergeCell ref="C1:E2"/>
    <mergeCell ref="E12:M13"/>
    <mergeCell ref="E163:M164"/>
    <mergeCell ref="E239:M240"/>
  </mergeCells>
  <pageMargins left="0.7" right="0.7" top="0.75" bottom="0.75" header="0.3" footer="0.3"/>
  <pageSetup paperSize="1" scale="60" orientation="portrait"/>
  <headerFooter/>
  <rowBreaks count="3" manualBreakCount="3">
    <brk id="76" max="16383" man="1"/>
    <brk id="152" max="16383" man="1"/>
    <brk id="228" max="1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4"/>
  <sheetViews>
    <sheetView view="pageBreakPreview" zoomScale="80" zoomScaleNormal="100" topLeftCell="A302" workbookViewId="0">
      <selection activeCell="R323" sqref="R323"/>
    </sheetView>
  </sheetViews>
  <sheetFormatPr defaultColWidth="9" defaultRowHeight="14.4"/>
  <cols>
    <col min="1" max="1" width="6.11111111111111" customWidth="1"/>
    <col min="2" max="2" width="3" customWidth="1"/>
    <col min="3" max="3" width="27.5555555555556" style="1" customWidth="1"/>
    <col min="4" max="4" width="3.11111111111111" customWidth="1"/>
    <col min="5" max="5" width="20.5555555555556" customWidth="1"/>
    <col min="6" max="6" width="15.4444444444444" customWidth="1"/>
    <col min="7" max="7" width="11.8888888888889" customWidth="1"/>
    <col min="8" max="8" width="5.55555555555556" customWidth="1"/>
    <col min="9" max="9" width="15.1111111111111" customWidth="1"/>
    <col min="10" max="10" width="9.44444444444444" customWidth="1"/>
    <col min="11" max="11" width="3.88888888888889" customWidth="1"/>
    <col min="12" max="12" width="12" customWidth="1"/>
    <col min="13" max="13" width="11.6666666666667" customWidth="1"/>
  </cols>
  <sheetData>
    <row r="1" ht="16.2" spans="1:17">
      <c r="A1" s="2"/>
      <c r="B1" s="3"/>
      <c r="C1" s="4"/>
      <c r="D1" s="4"/>
      <c r="E1" s="4"/>
      <c r="F1" s="2"/>
      <c r="G1" s="2"/>
      <c r="H1" s="2"/>
      <c r="I1" s="3"/>
      <c r="J1" s="3"/>
      <c r="K1" s="3"/>
      <c r="L1" s="3"/>
      <c r="M1" s="3"/>
    </row>
    <row r="2" ht="16.2" spans="1:17">
      <c r="A2" s="2"/>
      <c r="B2" s="5"/>
      <c r="C2" s="4"/>
      <c r="D2" s="4"/>
      <c r="E2" s="4"/>
      <c r="F2" s="2"/>
      <c r="G2" s="2"/>
      <c r="H2" s="2"/>
      <c r="I2" s="3"/>
      <c r="J2" s="3"/>
      <c r="K2" s="3"/>
      <c r="L2" s="3"/>
      <c r="M2" s="3"/>
    </row>
    <row r="3" ht="16.2" spans="1:17">
      <c r="A3" s="2"/>
      <c r="B3" s="5"/>
      <c r="C3" s="6"/>
      <c r="D3" s="3"/>
      <c r="E3" s="2"/>
      <c r="F3" s="2"/>
      <c r="G3" s="2"/>
      <c r="H3" s="2"/>
      <c r="I3" s="3"/>
      <c r="J3" s="3"/>
      <c r="K3" s="3"/>
      <c r="L3" s="3"/>
      <c r="M3" s="3"/>
    </row>
    <row r="4" ht="15.6" spans="1:17">
      <c r="A4" s="7"/>
      <c r="B4" s="8"/>
      <c r="C4" s="7"/>
      <c r="D4" s="9"/>
      <c r="E4" s="9"/>
      <c r="F4" s="10"/>
      <c r="G4" s="10"/>
      <c r="H4" s="9"/>
      <c r="I4" s="10"/>
      <c r="J4" s="10"/>
      <c r="K4" s="11"/>
      <c r="L4" s="7"/>
      <c r="M4" s="3"/>
    </row>
    <row r="5" ht="15.6" spans="1:17">
      <c r="A5" s="12"/>
      <c r="B5" s="13"/>
      <c r="C5" s="7"/>
      <c r="D5" s="9"/>
      <c r="E5" s="9"/>
      <c r="F5" s="10"/>
      <c r="G5" s="10"/>
      <c r="H5" s="9"/>
      <c r="I5" s="10"/>
      <c r="J5" s="10"/>
      <c r="K5" s="7"/>
      <c r="L5" s="73" t="s">
        <v>0</v>
      </c>
      <c r="M5" s="3"/>
    </row>
    <row r="6" ht="16.2" spans="1:17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 ht="15.6" spans="1:17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ht="15" spans="1:17">
      <c r="C9" s="1" t="s">
        <v>2</v>
      </c>
      <c r="D9" t="s">
        <v>3</v>
      </c>
      <c r="E9" s="15"/>
    </row>
    <row r="10" ht="15" customHeight="1" spans="1:17">
      <c r="C10" s="1" t="s">
        <v>4</v>
      </c>
      <c r="D10" t="s">
        <v>3</v>
      </c>
      <c r="E10" s="65">
        <v>46266</v>
      </c>
      <c r="F10" s="17" t="s">
        <v>5</v>
      </c>
      <c r="G10" s="66">
        <v>46268</v>
      </c>
      <c r="H10" s="66"/>
      <c r="I10" s="66"/>
    </row>
    <row r="11" ht="15" customHeight="1" spans="1:17">
      <c r="C11" s="1" t="s">
        <v>6</v>
      </c>
      <c r="D11" t="s">
        <v>3</v>
      </c>
      <c r="E11" s="15" t="s">
        <v>102</v>
      </c>
    </row>
    <row r="12" ht="15" customHeight="1" spans="1:17">
      <c r="C12" s="19" t="s">
        <v>8</v>
      </c>
      <c r="D12" t="s">
        <v>3</v>
      </c>
      <c r="E12" s="20" t="s">
        <v>103</v>
      </c>
      <c r="F12" s="20"/>
      <c r="G12" s="20"/>
      <c r="H12" s="20"/>
      <c r="I12" s="20"/>
      <c r="J12" s="20"/>
      <c r="K12" s="20"/>
      <c r="L12" s="20"/>
      <c r="M12" s="20"/>
    </row>
    <row r="13" ht="15" customHeight="1" spans="1:17">
      <c r="C13"/>
      <c r="E13" s="20"/>
      <c r="F13" s="20"/>
      <c r="G13" s="20"/>
      <c r="H13" s="20"/>
      <c r="I13" s="20"/>
      <c r="J13" s="20"/>
      <c r="K13" s="20"/>
      <c r="L13" s="20"/>
      <c r="M13" s="20"/>
    </row>
    <row r="14" spans="1:17">
      <c r="C14" s="1" t="s">
        <v>11</v>
      </c>
      <c r="D14" t="s">
        <v>3</v>
      </c>
      <c r="E14" s="21" t="s">
        <v>12</v>
      </c>
      <c r="F14" s="16"/>
      <c r="G14" s="17"/>
      <c r="H14" s="18"/>
      <c r="I14" s="18"/>
      <c r="N14" s="21" t="s">
        <v>13</v>
      </c>
      <c r="O14" s="21" t="s">
        <v>14</v>
      </c>
      <c r="P14" s="21" t="s">
        <v>12</v>
      </c>
      <c r="Q14" s="21" t="s">
        <v>15</v>
      </c>
    </row>
    <row r="15" ht="15.6" spans="1:17">
      <c r="C15" s="1" t="s">
        <v>16</v>
      </c>
      <c r="D15" t="s">
        <v>3</v>
      </c>
      <c r="E15" s="22" t="s">
        <v>104</v>
      </c>
      <c r="F15" s="22"/>
      <c r="G15" s="22"/>
      <c r="H15" s="22"/>
      <c r="I15" s="22"/>
    </row>
    <row r="16" ht="15.6" spans="1:17">
      <c r="C16" s="1" t="s">
        <v>18</v>
      </c>
      <c r="D16" t="s">
        <v>3</v>
      </c>
      <c r="E16" s="23" t="s">
        <v>19</v>
      </c>
      <c r="F16" s="24"/>
    </row>
    <row r="17" spans="1:13">
      <c r="E17" s="24"/>
    </row>
    <row r="18" spans="1:13">
      <c r="A18" s="25" t="s">
        <v>20</v>
      </c>
      <c r="B18" s="26" t="s">
        <v>21</v>
      </c>
      <c r="C18" s="27"/>
      <c r="D18" s="27"/>
      <c r="E18" s="27"/>
      <c r="F18" s="27"/>
      <c r="G18" s="27"/>
      <c r="H18" s="27"/>
      <c r="I18" s="27"/>
      <c r="J18" s="28"/>
      <c r="K18" s="26" t="s">
        <v>22</v>
      </c>
      <c r="L18" s="28"/>
      <c r="M18" s="29" t="s">
        <v>23</v>
      </c>
    </row>
    <row r="19" spans="1:13">
      <c r="A19" s="30"/>
      <c r="K19" s="31"/>
      <c r="L19" s="32"/>
      <c r="M19" s="30"/>
    </row>
    <row r="20" spans="1:13">
      <c r="A20" s="33" t="s">
        <v>24</v>
      </c>
      <c r="B20" t="s">
        <v>25</v>
      </c>
      <c r="K20" s="31"/>
      <c r="L20" s="32"/>
      <c r="M20" s="30"/>
    </row>
    <row r="21" spans="1:13">
      <c r="A21" s="33"/>
      <c r="K21" s="31"/>
      <c r="L21" s="32"/>
      <c r="M21" s="30"/>
    </row>
    <row r="22" spans="1:13">
      <c r="A22" s="33"/>
      <c r="B22" s="34">
        <v>1</v>
      </c>
      <c r="C22" s="34" t="s">
        <v>26</v>
      </c>
      <c r="K22" s="31"/>
      <c r="L22" s="32"/>
      <c r="M22" s="30"/>
    </row>
    <row r="23" spans="1:13">
      <c r="A23" s="33"/>
      <c r="B23" s="34"/>
      <c r="C23" s="1" t="s">
        <v>27</v>
      </c>
      <c r="G23">
        <v>0</v>
      </c>
      <c r="H23" s="1" t="s">
        <v>28</v>
      </c>
      <c r="I23" s="35">
        <v>0</v>
      </c>
      <c r="K23" s="31" t="s">
        <v>29</v>
      </c>
      <c r="L23" s="36">
        <f t="shared" ref="L23:L25" si="0">+I23*G23</f>
        <v>0</v>
      </c>
      <c r="M23" s="37"/>
    </row>
    <row r="24" spans="1:13">
      <c r="A24" s="33"/>
      <c r="B24" s="34"/>
      <c r="C24" s="1" t="s">
        <v>30</v>
      </c>
      <c r="G24">
        <v>0</v>
      </c>
      <c r="H24" t="s">
        <v>28</v>
      </c>
      <c r="I24" s="35">
        <v>0</v>
      </c>
      <c r="J24" s="38"/>
      <c r="K24" s="31" t="s">
        <v>29</v>
      </c>
      <c r="L24" s="36">
        <f t="shared" si="0"/>
        <v>0</v>
      </c>
      <c r="M24" s="39"/>
    </row>
    <row r="25" spans="1:13">
      <c r="A25" s="33"/>
      <c r="B25" s="34"/>
      <c r="C25" s="1" t="s">
        <v>31</v>
      </c>
      <c r="G25">
        <v>0</v>
      </c>
      <c r="H25" t="s">
        <v>28</v>
      </c>
      <c r="I25" s="35">
        <v>0</v>
      </c>
      <c r="K25" s="31" t="s">
        <v>29</v>
      </c>
      <c r="L25" s="36">
        <f t="shared" si="0"/>
        <v>0</v>
      </c>
      <c r="M25" s="37"/>
    </row>
    <row r="26" spans="1:13">
      <c r="A26" s="33"/>
      <c r="B26" s="34">
        <v>2</v>
      </c>
      <c r="C26" s="34" t="s">
        <v>32</v>
      </c>
      <c r="D26" s="34"/>
      <c r="K26" s="31"/>
      <c r="L26" s="40"/>
      <c r="M26" s="30"/>
    </row>
    <row r="27" spans="1:13">
      <c r="A27" s="33"/>
      <c r="B27" s="34"/>
      <c r="C27" s="1" t="s">
        <v>33</v>
      </c>
      <c r="D27" s="41"/>
      <c r="E27">
        <v>3</v>
      </c>
      <c r="F27" t="s">
        <v>34</v>
      </c>
      <c r="G27" s="38">
        <v>1</v>
      </c>
      <c r="H27" t="s">
        <v>28</v>
      </c>
      <c r="I27" s="42">
        <v>190000</v>
      </c>
      <c r="K27" s="31" t="s">
        <v>29</v>
      </c>
      <c r="L27" s="43">
        <f t="shared" ref="L27:L29" si="1">I27*G27*E27</f>
        <v>570000</v>
      </c>
      <c r="M27" s="37"/>
    </row>
    <row r="28" spans="1:13">
      <c r="A28" s="33"/>
      <c r="B28" s="34"/>
      <c r="C28" s="1" t="s">
        <v>35</v>
      </c>
      <c r="D28" s="41"/>
      <c r="E28">
        <v>2</v>
      </c>
      <c r="F28" t="s">
        <v>34</v>
      </c>
      <c r="G28" s="38">
        <v>1</v>
      </c>
      <c r="H28" t="str">
        <f t="shared" ref="H28:K29" si="2">+H27</f>
        <v>x Rp.</v>
      </c>
      <c r="I28" s="42">
        <v>50000</v>
      </c>
      <c r="K28" s="31" t="str">
        <f t="shared" si="2"/>
        <v>Rp.</v>
      </c>
      <c r="L28" s="43">
        <f t="shared" si="1"/>
        <v>100000</v>
      </c>
      <c r="M28" s="37"/>
    </row>
    <row r="29" spans="1:13">
      <c r="A29" s="33"/>
      <c r="B29" s="34"/>
      <c r="C29" s="1" t="s">
        <v>36</v>
      </c>
      <c r="D29" s="41"/>
      <c r="E29">
        <v>0</v>
      </c>
      <c r="F29" t="s">
        <v>34</v>
      </c>
      <c r="G29" s="38">
        <v>1</v>
      </c>
      <c r="H29" t="str">
        <f t="shared" si="2"/>
        <v>x Rp.</v>
      </c>
      <c r="I29" s="42">
        <v>250000</v>
      </c>
      <c r="K29" s="31" t="str">
        <f t="shared" si="2"/>
        <v>Rp.</v>
      </c>
      <c r="L29" s="43">
        <f t="shared" si="1"/>
        <v>0</v>
      </c>
      <c r="M29" s="44"/>
    </row>
    <row r="30" spans="1:13">
      <c r="A30" s="33"/>
      <c r="B30" s="34">
        <v>3</v>
      </c>
      <c r="C30" s="34" t="s">
        <v>37</v>
      </c>
      <c r="D30" s="41"/>
      <c r="G30" s="38" t="s">
        <v>38</v>
      </c>
      <c r="I30" s="42"/>
      <c r="J30" s="1" t="s">
        <v>10</v>
      </c>
      <c r="K30" s="31"/>
      <c r="L30" s="40"/>
      <c r="M30" s="37"/>
    </row>
    <row r="31" spans="1:13">
      <c r="A31" s="33"/>
      <c r="B31" s="34"/>
      <c r="C31" s="1" t="s">
        <v>33</v>
      </c>
      <c r="D31" s="41"/>
      <c r="E31">
        <v>0</v>
      </c>
      <c r="F31" t="s">
        <v>34</v>
      </c>
      <c r="G31" s="38">
        <v>1</v>
      </c>
      <c r="H31" t="str">
        <f>+H29</f>
        <v>x Rp.</v>
      </c>
      <c r="I31" s="42">
        <v>0</v>
      </c>
      <c r="K31" s="31" t="s">
        <v>29</v>
      </c>
      <c r="L31" s="40">
        <f t="shared" ref="L31:L33" si="3">+E31*G31*I31</f>
        <v>0</v>
      </c>
      <c r="M31" s="39"/>
    </row>
    <row r="32" spans="1:13">
      <c r="A32" s="33"/>
      <c r="B32" s="34"/>
      <c r="C32" s="1" t="s">
        <v>35</v>
      </c>
      <c r="D32" s="41"/>
      <c r="E32">
        <v>0</v>
      </c>
      <c r="F32" t="s">
        <v>34</v>
      </c>
      <c r="G32" s="38">
        <v>1</v>
      </c>
      <c r="H32" t="str">
        <f t="shared" ref="H32" si="4">+H31</f>
        <v>x Rp.</v>
      </c>
      <c r="I32" s="42">
        <v>0</v>
      </c>
      <c r="K32" s="31" t="str">
        <f t="shared" ref="K32" si="5">+K31</f>
        <v>Rp.</v>
      </c>
      <c r="L32" s="40">
        <f t="shared" si="3"/>
        <v>0</v>
      </c>
      <c r="M32" s="37"/>
    </row>
    <row r="33" spans="1:13">
      <c r="A33" s="33"/>
      <c r="B33" s="34"/>
      <c r="C33" s="1" t="s">
        <v>36</v>
      </c>
      <c r="D33" s="41"/>
      <c r="E33">
        <v>0</v>
      </c>
      <c r="F33" t="s">
        <v>34</v>
      </c>
      <c r="G33" s="38">
        <v>1</v>
      </c>
      <c r="H33" t="s">
        <v>28</v>
      </c>
      <c r="I33" s="42">
        <v>0</v>
      </c>
      <c r="K33" s="31" t="s">
        <v>29</v>
      </c>
      <c r="L33" s="40">
        <f t="shared" si="3"/>
        <v>0</v>
      </c>
      <c r="M33" s="30"/>
    </row>
    <row r="34" spans="1:13">
      <c r="A34" s="33"/>
      <c r="B34" s="34">
        <v>4</v>
      </c>
      <c r="C34" s="34" t="s">
        <v>39</v>
      </c>
      <c r="D34" s="41"/>
      <c r="G34" s="38" t="s">
        <v>38</v>
      </c>
      <c r="I34" s="42"/>
      <c r="J34" s="1" t="s">
        <v>10</v>
      </c>
      <c r="K34" s="31"/>
      <c r="L34" s="40"/>
      <c r="M34" s="37"/>
    </row>
    <row r="35" spans="1:13">
      <c r="A35" s="33"/>
      <c r="B35" s="34"/>
      <c r="C35" s="1" t="s">
        <v>40</v>
      </c>
      <c r="D35" s="41"/>
      <c r="E35">
        <v>0</v>
      </c>
      <c r="F35" t="s">
        <v>34</v>
      </c>
      <c r="G35" s="38">
        <v>1</v>
      </c>
      <c r="H35" t="str">
        <f>+H36</f>
        <v>x Rp.</v>
      </c>
      <c r="I35" s="42">
        <v>0</v>
      </c>
      <c r="K35" s="31" t="str">
        <f>+K33</f>
        <v>Rp.</v>
      </c>
      <c r="L35" s="40">
        <f t="shared" ref="L35:L37" si="6">+E35*G35*I35</f>
        <v>0</v>
      </c>
      <c r="M35" s="45"/>
    </row>
    <row r="36" spans="1:13">
      <c r="A36" s="33"/>
      <c r="B36" s="34"/>
      <c r="C36" s="1" t="s">
        <v>41</v>
      </c>
      <c r="D36" s="41"/>
      <c r="E36">
        <v>0</v>
      </c>
      <c r="F36" t="s">
        <v>34</v>
      </c>
      <c r="G36" s="38">
        <v>1</v>
      </c>
      <c r="H36" t="str">
        <f>+H33</f>
        <v>x Rp.</v>
      </c>
      <c r="I36" s="42">
        <v>0</v>
      </c>
      <c r="K36" s="31" t="str">
        <f t="shared" ref="K36:K41" si="7">+K35</f>
        <v>Rp.</v>
      </c>
      <c r="L36" s="40">
        <f t="shared" si="6"/>
        <v>0</v>
      </c>
      <c r="M36" s="39"/>
    </row>
    <row r="37" spans="1:13">
      <c r="A37" s="33"/>
      <c r="B37" s="34"/>
      <c r="C37" s="1" t="s">
        <v>42</v>
      </c>
      <c r="D37" s="41"/>
      <c r="E37">
        <v>0</v>
      </c>
      <c r="F37" t="s">
        <v>34</v>
      </c>
      <c r="G37" s="38">
        <v>1</v>
      </c>
      <c r="H37" t="str">
        <f t="shared" ref="H37:K37" si="8">+H36</f>
        <v>x Rp.</v>
      </c>
      <c r="I37" s="42">
        <v>0</v>
      </c>
      <c r="K37" s="31" t="str">
        <f t="shared" si="8"/>
        <v>Rp.</v>
      </c>
      <c r="L37" s="40">
        <f t="shared" si="6"/>
        <v>0</v>
      </c>
      <c r="M37" s="37"/>
    </row>
    <row r="38" spans="1:13">
      <c r="A38" s="33"/>
      <c r="B38" s="34">
        <v>5</v>
      </c>
      <c r="C38" s="34" t="s">
        <v>43</v>
      </c>
      <c r="D38" s="41"/>
      <c r="G38" s="38" t="s">
        <v>38</v>
      </c>
      <c r="I38" s="42"/>
      <c r="J38" s="1" t="s">
        <v>10</v>
      </c>
      <c r="K38" s="31"/>
      <c r="L38" s="40"/>
      <c r="M38" s="37"/>
    </row>
    <row r="39" spans="1:13">
      <c r="A39" s="33"/>
      <c r="B39" s="34"/>
      <c r="C39" s="1" t="s">
        <v>44</v>
      </c>
      <c r="D39" s="41"/>
      <c r="E39">
        <v>0</v>
      </c>
      <c r="F39" t="str">
        <f>+F40</f>
        <v>hari x</v>
      </c>
      <c r="G39" s="38">
        <v>1</v>
      </c>
      <c r="H39" t="str">
        <f>+H40</f>
        <v>x Rp.</v>
      </c>
      <c r="I39" s="42">
        <v>0</v>
      </c>
      <c r="K39" s="31" t="str">
        <f>+K37</f>
        <v>Rp.</v>
      </c>
      <c r="L39" s="40">
        <f t="shared" ref="L39:L41" si="9">+E39*G39*I39</f>
        <v>0</v>
      </c>
      <c r="M39" s="45"/>
    </row>
    <row r="40" spans="1:13">
      <c r="A40" s="33"/>
      <c r="B40" s="34"/>
      <c r="C40" s="1" t="s">
        <v>45</v>
      </c>
      <c r="D40" s="41"/>
      <c r="E40">
        <v>0</v>
      </c>
      <c r="F40" t="str">
        <f>+F37</f>
        <v>hari x</v>
      </c>
      <c r="G40" s="38">
        <v>1</v>
      </c>
      <c r="H40" t="str">
        <f>+H37</f>
        <v>x Rp.</v>
      </c>
      <c r="I40" s="42">
        <v>0</v>
      </c>
      <c r="K40" s="31" t="str">
        <f t="shared" si="7"/>
        <v>Rp.</v>
      </c>
      <c r="L40" s="40">
        <f t="shared" si="9"/>
        <v>0</v>
      </c>
      <c r="M40" s="39"/>
    </row>
    <row r="41" spans="1:13">
      <c r="A41" s="33"/>
      <c r="B41" s="34">
        <v>6</v>
      </c>
      <c r="C41" s="34" t="s">
        <v>46</v>
      </c>
      <c r="D41" s="41"/>
      <c r="E41">
        <v>0</v>
      </c>
      <c r="F41" t="s">
        <v>47</v>
      </c>
      <c r="G41" s="38">
        <v>1</v>
      </c>
      <c r="H41" t="str">
        <f>+H39</f>
        <v>x Rp.</v>
      </c>
      <c r="I41" s="42">
        <v>0</v>
      </c>
      <c r="K41" s="31" t="str">
        <f t="shared" si="7"/>
        <v>Rp.</v>
      </c>
      <c r="L41" s="40">
        <f t="shared" si="9"/>
        <v>0</v>
      </c>
      <c r="M41" s="37"/>
    </row>
    <row r="42" spans="1:13">
      <c r="A42" s="33"/>
      <c r="B42" s="34"/>
      <c r="D42" s="41"/>
      <c r="G42" s="38"/>
      <c r="I42" s="42"/>
      <c r="K42" s="31"/>
      <c r="L42" s="40"/>
      <c r="M42" s="30"/>
    </row>
    <row r="43" spans="1:13">
      <c r="A43" s="33"/>
      <c r="C43" s="1" t="s">
        <v>10</v>
      </c>
      <c r="D43" t="s">
        <v>10</v>
      </c>
      <c r="K43" s="31"/>
      <c r="L43" s="40"/>
      <c r="M43" s="30"/>
    </row>
    <row r="44" spans="1:13">
      <c r="A44" s="33"/>
      <c r="B44" s="34" t="s">
        <v>48</v>
      </c>
      <c r="E44" t="s">
        <v>10</v>
      </c>
      <c r="K44" s="31" t="s">
        <v>29</v>
      </c>
      <c r="L44" s="46">
        <f>SUM(L23:L41)</f>
        <v>670000</v>
      </c>
      <c r="M44" s="30"/>
    </row>
    <row r="45" spans="1:13">
      <c r="A45" s="33"/>
      <c r="D45" t="s">
        <v>10</v>
      </c>
      <c r="E45" t="s">
        <v>10</v>
      </c>
      <c r="J45" t="s">
        <v>10</v>
      </c>
      <c r="K45" s="31" t="s">
        <v>10</v>
      </c>
      <c r="L45" s="40"/>
      <c r="M45" s="30"/>
    </row>
    <row r="46" spans="1:13">
      <c r="A46" s="33" t="s">
        <v>49</v>
      </c>
      <c r="B46" s="34" t="s">
        <v>50</v>
      </c>
      <c r="K46" s="31"/>
      <c r="L46" s="40"/>
      <c r="M46" s="30"/>
    </row>
    <row r="47" spans="1:13">
      <c r="A47" s="33"/>
      <c r="B47" s="34">
        <v>1</v>
      </c>
      <c r="C47" s="34" t="s">
        <v>51</v>
      </c>
      <c r="K47" s="31"/>
      <c r="L47" s="40"/>
      <c r="M47" s="30"/>
    </row>
    <row r="48" spans="1:13">
      <c r="A48" s="33"/>
      <c r="C48" s="1" t="s">
        <v>52</v>
      </c>
      <c r="K48" s="31" t="s">
        <v>29</v>
      </c>
      <c r="L48" s="40">
        <v>0</v>
      </c>
      <c r="M48" s="30"/>
    </row>
    <row r="49" spans="1:13">
      <c r="A49" s="33"/>
      <c r="C49" s="1" t="s">
        <v>53</v>
      </c>
      <c r="K49" s="31" t="s">
        <v>29</v>
      </c>
      <c r="L49" s="40">
        <v>0</v>
      </c>
      <c r="M49" s="30"/>
    </row>
    <row r="50" spans="1:13">
      <c r="A50" s="33"/>
      <c r="C50" s="1" t="s">
        <v>54</v>
      </c>
      <c r="K50" s="31" t="s">
        <v>29</v>
      </c>
      <c r="L50" s="40">
        <v>0</v>
      </c>
      <c r="M50" s="30"/>
    </row>
    <row r="51" spans="1:13">
      <c r="A51" s="33"/>
      <c r="K51" s="31" t="s">
        <v>29</v>
      </c>
      <c r="L51" s="40">
        <v>0</v>
      </c>
      <c r="M51" s="30"/>
    </row>
    <row r="52" spans="1:13">
      <c r="A52" s="33"/>
      <c r="B52" s="34">
        <v>2</v>
      </c>
      <c r="C52" s="34" t="s">
        <v>55</v>
      </c>
      <c r="K52" s="31"/>
      <c r="L52" s="40"/>
      <c r="M52" s="30"/>
    </row>
    <row r="53" spans="1:13">
      <c r="A53" s="33"/>
      <c r="C53" s="1" t="s">
        <v>56</v>
      </c>
      <c r="D53" t="s">
        <v>57</v>
      </c>
      <c r="E53" t="s">
        <v>58</v>
      </c>
      <c r="F53" t="s">
        <v>34</v>
      </c>
      <c r="H53" t="s">
        <v>59</v>
      </c>
      <c r="I53" t="s">
        <v>60</v>
      </c>
      <c r="K53" s="31" t="s">
        <v>29</v>
      </c>
      <c r="L53" s="40">
        <v>0</v>
      </c>
      <c r="M53" s="30"/>
    </row>
    <row r="54" spans="1:13">
      <c r="A54" s="33"/>
      <c r="C54" s="1" t="s">
        <v>61</v>
      </c>
      <c r="K54" s="31"/>
      <c r="L54" s="40"/>
      <c r="M54" s="30"/>
    </row>
    <row r="55" spans="1:13">
      <c r="A55" s="33"/>
      <c r="B55" s="34">
        <v>3</v>
      </c>
      <c r="C55" s="1" t="s">
        <v>62</v>
      </c>
      <c r="K55" s="31"/>
      <c r="L55" s="40"/>
      <c r="M55" s="30"/>
    </row>
    <row r="56" spans="1:13">
      <c r="A56" s="33"/>
      <c r="B56" s="34"/>
      <c r="C56" s="1" t="s">
        <v>40</v>
      </c>
      <c r="E56">
        <v>0</v>
      </c>
      <c r="F56" t="str">
        <f>+F39</f>
        <v>hari x</v>
      </c>
      <c r="G56" s="38">
        <v>1</v>
      </c>
      <c r="H56">
        <f>+H57</f>
        <v>0</v>
      </c>
      <c r="I56" s="42">
        <v>0</v>
      </c>
      <c r="K56" s="31" t="str">
        <f>+K53</f>
        <v>Rp.</v>
      </c>
      <c r="L56" s="40">
        <f t="shared" ref="L56:L58" si="10">+E56*G56*I56</f>
        <v>0</v>
      </c>
      <c r="M56" s="30"/>
    </row>
    <row r="57" spans="1:13">
      <c r="A57" s="33"/>
      <c r="B57" s="34"/>
      <c r="C57" s="1" t="s">
        <v>41</v>
      </c>
      <c r="E57">
        <v>0</v>
      </c>
      <c r="F57" t="str">
        <f>+F56</f>
        <v>hari x</v>
      </c>
      <c r="G57" s="38">
        <v>1</v>
      </c>
      <c r="H57">
        <f>+H54</f>
        <v>0</v>
      </c>
      <c r="I57" s="42">
        <v>0</v>
      </c>
      <c r="K57" s="31" t="str">
        <f>+K56</f>
        <v>Rp.</v>
      </c>
      <c r="L57" s="40">
        <f t="shared" si="10"/>
        <v>0</v>
      </c>
      <c r="M57" s="30"/>
    </row>
    <row r="58" spans="1:13">
      <c r="A58" s="33"/>
      <c r="B58" s="34"/>
      <c r="C58" s="1" t="s">
        <v>42</v>
      </c>
      <c r="E58">
        <v>0</v>
      </c>
      <c r="F58" t="str">
        <f t="shared" ref="F58:K58" si="11">+F57</f>
        <v>hari x</v>
      </c>
      <c r="G58" s="38">
        <v>0.5</v>
      </c>
      <c r="H58">
        <f t="shared" si="11"/>
        <v>0</v>
      </c>
      <c r="I58" s="42">
        <v>0</v>
      </c>
      <c r="K58" s="31" t="str">
        <f t="shared" si="11"/>
        <v>Rp.</v>
      </c>
      <c r="L58" s="40">
        <f t="shared" si="10"/>
        <v>0</v>
      </c>
      <c r="M58" s="30"/>
    </row>
    <row r="59" spans="1:13">
      <c r="A59" s="33"/>
      <c r="B59">
        <v>4</v>
      </c>
      <c r="C59" s="1" t="s">
        <v>63</v>
      </c>
      <c r="G59" s="41"/>
      <c r="I59" s="1" t="s">
        <v>10</v>
      </c>
      <c r="K59" s="31"/>
      <c r="L59" s="40"/>
      <c r="M59" s="30"/>
    </row>
    <row r="60" spans="1:13">
      <c r="A60" s="33"/>
      <c r="K60" s="31"/>
      <c r="L60" s="40"/>
      <c r="M60" s="30"/>
    </row>
    <row r="61" spans="1:13">
      <c r="A61" s="33"/>
      <c r="B61" s="34" t="s">
        <v>64</v>
      </c>
      <c r="C61" s="34"/>
      <c r="E61" t="s">
        <v>38</v>
      </c>
      <c r="K61" s="31" t="s">
        <v>29</v>
      </c>
      <c r="L61" s="46">
        <f>SUM(L48:L60)</f>
        <v>0</v>
      </c>
      <c r="M61" s="30"/>
    </row>
    <row r="62" spans="1:13">
      <c r="A62" s="33"/>
      <c r="K62" s="31"/>
      <c r="L62" s="40"/>
      <c r="M62" s="30"/>
    </row>
    <row r="63" ht="15.15" spans="1:13">
      <c r="A63" s="33" t="s">
        <v>65</v>
      </c>
      <c r="B63" s="34" t="s">
        <v>66</v>
      </c>
      <c r="C63" s="34"/>
      <c r="K63" s="31" t="s">
        <v>29</v>
      </c>
      <c r="L63" s="46">
        <f>L61+L44</f>
        <v>670000</v>
      </c>
      <c r="M63" s="47"/>
    </row>
    <row r="64" spans="1:13">
      <c r="A64" s="30"/>
      <c r="G64" t="s">
        <v>10</v>
      </c>
      <c r="K64" s="48"/>
      <c r="L64" s="49"/>
      <c r="M64" s="47"/>
    </row>
    <row r="65" spans="1:13">
      <c r="A65" s="50"/>
      <c r="B65" s="51"/>
      <c r="C65" s="52"/>
      <c r="D65" s="52"/>
      <c r="E65" s="52"/>
      <c r="F65" s="53"/>
      <c r="G65" s="53"/>
      <c r="H65" s="53"/>
      <c r="I65" s="53"/>
      <c r="J65" s="54"/>
      <c r="K65" s="55"/>
      <c r="L65" s="54"/>
      <c r="M65" s="56"/>
    </row>
    <row r="66" spans="1:13">
      <c r="B66" t="s">
        <v>10</v>
      </c>
      <c r="K66" s="57"/>
      <c r="L66" s="57"/>
      <c r="M66" s="57"/>
    </row>
    <row r="67" spans="1:13">
      <c r="A67" t="s">
        <v>67</v>
      </c>
      <c r="H67" t="s">
        <v>68</v>
      </c>
    </row>
    <row r="68" spans="1:13">
      <c r="C68" s="34" t="s">
        <v>29</v>
      </c>
      <c r="D68" s="34"/>
      <c r="E68" s="58">
        <f>+L63</f>
        <v>670000</v>
      </c>
      <c r="I68" s="34" t="s">
        <v>29</v>
      </c>
      <c r="L68" s="59">
        <f>+L63</f>
        <v>670000</v>
      </c>
    </row>
    <row r="69" spans="1:13">
      <c r="A69" s="60"/>
      <c r="C69" s="34"/>
      <c r="I69" s="34"/>
    </row>
    <row r="70" spans="1:13">
      <c r="G70" t="s">
        <v>10</v>
      </c>
    </row>
    <row r="71" spans="1:13">
      <c r="B71" s="61" t="s">
        <v>69</v>
      </c>
      <c r="C71" s="61"/>
      <c r="H71" s="62" t="s">
        <v>70</v>
      </c>
      <c r="I71" s="62"/>
      <c r="J71" s="62"/>
      <c r="K71" s="62"/>
      <c r="L71" s="62"/>
    </row>
    <row r="72" spans="1:13">
      <c r="H72" s="63"/>
      <c r="I72" s="63"/>
      <c r="J72" s="63"/>
      <c r="K72" s="63"/>
      <c r="L72" s="63"/>
    </row>
    <row r="73" spans="1:13">
      <c r="H73" s="63"/>
      <c r="I73" s="63"/>
      <c r="J73" s="63"/>
      <c r="K73" s="63"/>
      <c r="L73" s="63"/>
    </row>
    <row r="74" spans="1:13">
      <c r="H74" s="63"/>
      <c r="I74" s="63"/>
      <c r="J74" s="63"/>
      <c r="K74" s="63"/>
      <c r="L74" s="63"/>
    </row>
    <row r="75" spans="1:13">
      <c r="B75" s="61" t="s">
        <v>71</v>
      </c>
      <c r="C75" s="61"/>
      <c r="H75" s="62" t="str">
        <f>E15</f>
        <v>AKRAM ASSIDIK</v>
      </c>
      <c r="I75" s="62"/>
      <c r="J75" s="62"/>
      <c r="K75" s="62"/>
      <c r="L75" s="62"/>
    </row>
    <row r="76" ht="16.2" spans="1:13">
      <c r="A76" s="2"/>
      <c r="B76" s="3"/>
      <c r="C76" s="4"/>
      <c r="D76" s="4"/>
      <c r="E76" s="4"/>
      <c r="F76" s="2"/>
      <c r="G76" s="2"/>
      <c r="H76" s="2"/>
      <c r="I76" s="3"/>
      <c r="J76" s="3"/>
      <c r="K76" s="3"/>
      <c r="L76" s="3"/>
      <c r="M76" s="3"/>
    </row>
    <row r="77" ht="16.2" spans="1:13">
      <c r="A77" s="2"/>
      <c r="B77" s="5"/>
      <c r="C77" s="4"/>
      <c r="D77" s="4"/>
      <c r="E77" s="4"/>
      <c r="F77" s="2"/>
      <c r="G77" s="2"/>
      <c r="H77" s="2"/>
      <c r="I77" s="3"/>
      <c r="J77" s="3"/>
      <c r="K77" s="3"/>
      <c r="L77" s="3"/>
      <c r="M77" s="3"/>
    </row>
    <row r="78" ht="16.2" spans="1:13">
      <c r="A78" s="2"/>
      <c r="B78" s="5"/>
      <c r="C78" s="6"/>
      <c r="D78" s="3"/>
      <c r="E78" s="2"/>
      <c r="F78" s="2"/>
      <c r="G78" s="2"/>
      <c r="H78" s="2"/>
      <c r="I78" s="3"/>
      <c r="J78" s="3"/>
      <c r="K78" s="3"/>
      <c r="L78" s="3"/>
      <c r="M78" s="3"/>
    </row>
    <row r="79" ht="15.6" spans="1:13">
      <c r="A79" s="7"/>
      <c r="B79" s="8"/>
      <c r="C79" s="7"/>
      <c r="D79" s="9"/>
      <c r="E79" s="9"/>
      <c r="F79" s="10"/>
      <c r="G79" s="10"/>
      <c r="H79" s="9"/>
      <c r="I79" s="10"/>
      <c r="J79" s="10"/>
      <c r="K79" s="11"/>
      <c r="L79" s="7"/>
      <c r="M79" s="3"/>
    </row>
    <row r="80" ht="15.6" spans="1:13">
      <c r="A80" s="12"/>
      <c r="B80" s="13"/>
      <c r="C80" s="7"/>
      <c r="D80" s="9"/>
      <c r="E80" s="9"/>
      <c r="F80" s="10"/>
      <c r="G80" s="10"/>
      <c r="H80" s="9"/>
      <c r="I80" s="10"/>
      <c r="J80" s="10"/>
      <c r="K80" s="7"/>
      <c r="L80" s="73" t="s">
        <v>0</v>
      </c>
      <c r="M80" s="3"/>
    </row>
    <row r="81" ht="16.2" spans="1:17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</row>
    <row r="82" ht="15.6" spans="1:17">
      <c r="A82" s="14" t="s">
        <v>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4" ht="15" spans="1:17">
      <c r="C84" s="1" t="s">
        <v>2</v>
      </c>
      <c r="D84" t="s">
        <v>3</v>
      </c>
      <c r="E84" s="15"/>
    </row>
    <row r="85" spans="1:17">
      <c r="C85" s="1" t="s">
        <v>4</v>
      </c>
      <c r="D85" t="s">
        <v>3</v>
      </c>
      <c r="E85" s="65">
        <v>46275</v>
      </c>
      <c r="F85" s="17" t="s">
        <v>5</v>
      </c>
      <c r="G85" s="66">
        <v>46277</v>
      </c>
      <c r="H85" s="66"/>
      <c r="I85" s="66"/>
    </row>
    <row r="86" ht="15" spans="1:17">
      <c r="C86" s="1" t="s">
        <v>6</v>
      </c>
      <c r="D86" t="s">
        <v>3</v>
      </c>
      <c r="E86" s="15" t="s">
        <v>87</v>
      </c>
    </row>
    <row r="87" ht="15" customHeight="1" spans="1:17">
      <c r="C87" s="19" t="s">
        <v>8</v>
      </c>
      <c r="D87" t="s">
        <v>3</v>
      </c>
      <c r="E87" s="20" t="s">
        <v>88</v>
      </c>
      <c r="F87" s="20"/>
      <c r="G87" s="20"/>
      <c r="H87" s="20"/>
      <c r="I87" s="20"/>
      <c r="J87" s="20"/>
      <c r="K87" s="20"/>
      <c r="L87" s="20"/>
      <c r="M87" s="20"/>
    </row>
    <row r="88" spans="1:17">
      <c r="C88"/>
      <c r="E88" s="20"/>
      <c r="F88" s="20"/>
      <c r="G88" s="20"/>
      <c r="H88" s="20"/>
      <c r="I88" s="20"/>
      <c r="J88" s="20"/>
      <c r="K88" s="20"/>
      <c r="L88" s="20"/>
      <c r="M88" s="20"/>
    </row>
    <row r="89" spans="1:17">
      <c r="C89" s="1" t="s">
        <v>11</v>
      </c>
      <c r="D89" t="s">
        <v>3</v>
      </c>
      <c r="E89" s="21" t="s">
        <v>12</v>
      </c>
      <c r="F89" s="16"/>
      <c r="G89" s="17"/>
      <c r="H89" s="18"/>
      <c r="I89" s="18"/>
      <c r="N89" s="21" t="s">
        <v>13</v>
      </c>
      <c r="O89" s="21" t="s">
        <v>14</v>
      </c>
      <c r="P89" s="21" t="s">
        <v>12</v>
      </c>
      <c r="Q89" s="21" t="s">
        <v>15</v>
      </c>
    </row>
    <row r="90" ht="15.6" spans="1:17">
      <c r="C90" s="1" t="s">
        <v>16</v>
      </c>
      <c r="D90" t="s">
        <v>3</v>
      </c>
      <c r="E90" s="22" t="s">
        <v>104</v>
      </c>
      <c r="F90" s="22"/>
      <c r="G90" s="22"/>
      <c r="H90" s="22"/>
      <c r="I90" s="22"/>
    </row>
    <row r="91" ht="15.6" spans="1:17">
      <c r="C91" s="1" t="s">
        <v>18</v>
      </c>
      <c r="D91" t="s">
        <v>3</v>
      </c>
      <c r="E91" s="23" t="s">
        <v>19</v>
      </c>
      <c r="F91" s="24"/>
    </row>
    <row r="92" spans="1:17">
      <c r="E92" s="24"/>
    </row>
    <row r="93" spans="1:17">
      <c r="A93" s="25" t="s">
        <v>20</v>
      </c>
      <c r="B93" s="26" t="s">
        <v>21</v>
      </c>
      <c r="C93" s="27"/>
      <c r="D93" s="27"/>
      <c r="E93" s="27"/>
      <c r="F93" s="27"/>
      <c r="G93" s="27"/>
      <c r="H93" s="27"/>
      <c r="I93" s="27"/>
      <c r="J93" s="28"/>
      <c r="K93" s="26" t="s">
        <v>22</v>
      </c>
      <c r="L93" s="28"/>
      <c r="M93" s="29" t="s">
        <v>23</v>
      </c>
    </row>
    <row r="94" spans="1:17">
      <c r="A94" s="30"/>
      <c r="K94" s="31"/>
      <c r="L94" s="32"/>
      <c r="M94" s="30"/>
    </row>
    <row r="95" spans="1:17">
      <c r="A95" s="33" t="s">
        <v>24</v>
      </c>
      <c r="B95" t="s">
        <v>25</v>
      </c>
      <c r="K95" s="31"/>
      <c r="L95" s="32"/>
      <c r="M95" s="30"/>
    </row>
    <row r="96" spans="1:17">
      <c r="A96" s="33"/>
      <c r="K96" s="31"/>
      <c r="L96" s="32"/>
      <c r="M96" s="30"/>
    </row>
    <row r="97" spans="1:13">
      <c r="A97" s="33"/>
      <c r="B97" s="34">
        <v>1</v>
      </c>
      <c r="C97" s="34" t="s">
        <v>26</v>
      </c>
      <c r="K97" s="31"/>
      <c r="L97" s="32"/>
      <c r="M97" s="30"/>
    </row>
    <row r="98" spans="1:13">
      <c r="A98" s="33"/>
      <c r="B98" s="34"/>
      <c r="C98" s="1" t="s">
        <v>27</v>
      </c>
      <c r="G98">
        <v>0</v>
      </c>
      <c r="H98" s="1" t="s">
        <v>28</v>
      </c>
      <c r="I98" s="35">
        <v>0</v>
      </c>
      <c r="K98" s="31" t="s">
        <v>29</v>
      </c>
      <c r="L98" s="36">
        <f t="shared" ref="L98:L100" si="12">+I98*G98</f>
        <v>0</v>
      </c>
      <c r="M98" s="37"/>
    </row>
    <row r="99" spans="1:13">
      <c r="A99" s="33"/>
      <c r="B99" s="34"/>
      <c r="C99" s="1" t="s">
        <v>30</v>
      </c>
      <c r="G99">
        <v>0</v>
      </c>
      <c r="H99" t="s">
        <v>28</v>
      </c>
      <c r="I99" s="35">
        <v>0</v>
      </c>
      <c r="J99" s="38"/>
      <c r="K99" s="31" t="s">
        <v>29</v>
      </c>
      <c r="L99" s="36">
        <f t="shared" si="12"/>
        <v>0</v>
      </c>
      <c r="M99" s="39"/>
    </row>
    <row r="100" spans="1:13">
      <c r="A100" s="33"/>
      <c r="B100" s="34"/>
      <c r="C100" s="1" t="s">
        <v>31</v>
      </c>
      <c r="G100">
        <v>0</v>
      </c>
      <c r="H100" t="s">
        <v>28</v>
      </c>
      <c r="I100" s="35">
        <v>0</v>
      </c>
      <c r="K100" s="31" t="s">
        <v>29</v>
      </c>
      <c r="L100" s="36">
        <f t="shared" si="12"/>
        <v>0</v>
      </c>
      <c r="M100" s="37"/>
    </row>
    <row r="101" spans="1:13">
      <c r="A101" s="33"/>
      <c r="B101" s="34">
        <v>2</v>
      </c>
      <c r="C101" s="34" t="s">
        <v>32</v>
      </c>
      <c r="D101" s="34"/>
      <c r="K101" s="31"/>
      <c r="L101" s="40"/>
      <c r="M101" s="30"/>
    </row>
    <row r="102" spans="1:13">
      <c r="A102" s="33"/>
      <c r="B102" s="34"/>
      <c r="C102" s="1" t="s">
        <v>33</v>
      </c>
      <c r="D102" s="41"/>
      <c r="E102">
        <v>3</v>
      </c>
      <c r="F102" t="s">
        <v>34</v>
      </c>
      <c r="G102" s="38">
        <v>1</v>
      </c>
      <c r="H102" t="s">
        <v>28</v>
      </c>
      <c r="I102" s="42">
        <v>190000</v>
      </c>
      <c r="K102" s="31" t="s">
        <v>29</v>
      </c>
      <c r="L102" s="43">
        <f t="shared" ref="L102:L104" si="13">I102*G102*E102</f>
        <v>570000</v>
      </c>
      <c r="M102" s="37"/>
    </row>
    <row r="103" spans="1:13">
      <c r="A103" s="33"/>
      <c r="B103" s="34"/>
      <c r="C103" s="1" t="s">
        <v>35</v>
      </c>
      <c r="D103" s="41"/>
      <c r="E103">
        <v>2</v>
      </c>
      <c r="F103" t="s">
        <v>34</v>
      </c>
      <c r="G103" s="38">
        <v>1</v>
      </c>
      <c r="H103" t="str">
        <f t="shared" ref="H103:H104" si="14">+H102</f>
        <v>x Rp.</v>
      </c>
      <c r="I103" s="42">
        <v>50000</v>
      </c>
      <c r="K103" s="31" t="str">
        <f t="shared" ref="K103:K104" si="15">+K102</f>
        <v>Rp.</v>
      </c>
      <c r="L103" s="43">
        <f t="shared" si="13"/>
        <v>100000</v>
      </c>
      <c r="M103" s="37"/>
    </row>
    <row r="104" spans="1:13">
      <c r="A104" s="33"/>
      <c r="B104" s="34"/>
      <c r="C104" s="1" t="s">
        <v>36</v>
      </c>
      <c r="D104" s="41"/>
      <c r="E104">
        <v>0</v>
      </c>
      <c r="F104" t="s">
        <v>34</v>
      </c>
      <c r="G104" s="38">
        <v>1</v>
      </c>
      <c r="H104" t="str">
        <f t="shared" si="14"/>
        <v>x Rp.</v>
      </c>
      <c r="I104" s="42">
        <v>250000</v>
      </c>
      <c r="K104" s="31" t="str">
        <f t="shared" si="15"/>
        <v>Rp.</v>
      </c>
      <c r="L104" s="43">
        <f t="shared" si="13"/>
        <v>0</v>
      </c>
      <c r="M104" s="44"/>
    </row>
    <row r="105" spans="1:13">
      <c r="A105" s="33"/>
      <c r="B105" s="34">
        <v>3</v>
      </c>
      <c r="C105" s="34" t="s">
        <v>37</v>
      </c>
      <c r="D105" s="41"/>
      <c r="G105" s="38" t="s">
        <v>38</v>
      </c>
      <c r="I105" s="42"/>
      <c r="J105" s="1" t="s">
        <v>10</v>
      </c>
      <c r="K105" s="31"/>
      <c r="L105" s="40"/>
      <c r="M105" s="37"/>
    </row>
    <row r="106" spans="1:13">
      <c r="A106" s="33"/>
      <c r="B106" s="34"/>
      <c r="C106" s="1" t="s">
        <v>33</v>
      </c>
      <c r="D106" s="41"/>
      <c r="E106">
        <v>0</v>
      </c>
      <c r="F106" t="s">
        <v>34</v>
      </c>
      <c r="G106" s="38">
        <v>1</v>
      </c>
      <c r="H106" t="str">
        <f>+H104</f>
        <v>x Rp.</v>
      </c>
      <c r="I106" s="42">
        <v>0</v>
      </c>
      <c r="K106" s="31" t="s">
        <v>29</v>
      </c>
      <c r="L106" s="40">
        <f t="shared" ref="L106:L108" si="16">+E106*G106*I106</f>
        <v>0</v>
      </c>
      <c r="M106" s="39"/>
    </row>
    <row r="107" spans="1:13">
      <c r="A107" s="33"/>
      <c r="B107" s="34"/>
      <c r="C107" s="1" t="s">
        <v>35</v>
      </c>
      <c r="D107" s="41"/>
      <c r="E107">
        <v>0</v>
      </c>
      <c r="F107" t="s">
        <v>34</v>
      </c>
      <c r="G107" s="38">
        <v>1</v>
      </c>
      <c r="H107" t="str">
        <f t="shared" ref="H107" si="17">+H106</f>
        <v>x Rp.</v>
      </c>
      <c r="I107" s="42">
        <v>0</v>
      </c>
      <c r="K107" s="31" t="str">
        <f t="shared" ref="K107" si="18">+K106</f>
        <v>Rp.</v>
      </c>
      <c r="L107" s="40">
        <f t="shared" si="16"/>
        <v>0</v>
      </c>
      <c r="M107" s="37"/>
    </row>
    <row r="108" spans="1:13">
      <c r="A108" s="33"/>
      <c r="B108" s="34"/>
      <c r="C108" s="1" t="s">
        <v>36</v>
      </c>
      <c r="D108" s="41"/>
      <c r="E108">
        <v>0</v>
      </c>
      <c r="F108" t="s">
        <v>34</v>
      </c>
      <c r="G108" s="38">
        <v>1</v>
      </c>
      <c r="H108" t="s">
        <v>28</v>
      </c>
      <c r="I108" s="42">
        <v>0</v>
      </c>
      <c r="K108" s="31" t="s">
        <v>29</v>
      </c>
      <c r="L108" s="40">
        <f t="shared" si="16"/>
        <v>0</v>
      </c>
      <c r="M108" s="30"/>
    </row>
    <row r="109" spans="1:13">
      <c r="A109" s="33"/>
      <c r="B109" s="34">
        <v>4</v>
      </c>
      <c r="C109" s="34" t="s">
        <v>39</v>
      </c>
      <c r="D109" s="41"/>
      <c r="G109" s="38" t="s">
        <v>38</v>
      </c>
      <c r="I109" s="42"/>
      <c r="J109" s="1" t="s">
        <v>10</v>
      </c>
      <c r="K109" s="31"/>
      <c r="L109" s="40"/>
      <c r="M109" s="37"/>
    </row>
    <row r="110" spans="1:13">
      <c r="A110" s="33"/>
      <c r="B110" s="34"/>
      <c r="C110" s="1" t="s">
        <v>40</v>
      </c>
      <c r="D110" s="41"/>
      <c r="E110">
        <v>0</v>
      </c>
      <c r="F110" t="s">
        <v>34</v>
      </c>
      <c r="G110" s="38">
        <v>1</v>
      </c>
      <c r="H110" t="str">
        <f>+H111</f>
        <v>x Rp.</v>
      </c>
      <c r="I110" s="42">
        <v>0</v>
      </c>
      <c r="K110" s="31" t="str">
        <f>+K108</f>
        <v>Rp.</v>
      </c>
      <c r="L110" s="40">
        <f t="shared" ref="L110:L112" si="19">+E110*G110*I110</f>
        <v>0</v>
      </c>
      <c r="M110" s="45"/>
    </row>
    <row r="111" spans="1:13">
      <c r="A111" s="33"/>
      <c r="B111" s="34"/>
      <c r="C111" s="1" t="s">
        <v>41</v>
      </c>
      <c r="D111" s="41"/>
      <c r="E111">
        <v>0</v>
      </c>
      <c r="F111" t="s">
        <v>34</v>
      </c>
      <c r="G111" s="38">
        <v>1</v>
      </c>
      <c r="H111" t="str">
        <f>+H108</f>
        <v>x Rp.</v>
      </c>
      <c r="I111" s="42">
        <v>0</v>
      </c>
      <c r="K111" s="31" t="str">
        <f t="shared" ref="K111:K116" si="20">+K110</f>
        <v>Rp.</v>
      </c>
      <c r="L111" s="40">
        <f t="shared" si="19"/>
        <v>0</v>
      </c>
      <c r="M111" s="39"/>
    </row>
    <row r="112" spans="1:13">
      <c r="A112" s="33"/>
      <c r="B112" s="34"/>
      <c r="C112" s="1" t="s">
        <v>42</v>
      </c>
      <c r="D112" s="41"/>
      <c r="E112">
        <v>0</v>
      </c>
      <c r="F112" t="s">
        <v>34</v>
      </c>
      <c r="G112" s="38">
        <v>1</v>
      </c>
      <c r="H112" t="str">
        <f t="shared" ref="H112" si="21">+H111</f>
        <v>x Rp.</v>
      </c>
      <c r="I112" s="42">
        <v>0</v>
      </c>
      <c r="K112" s="31" t="str">
        <f t="shared" si="20"/>
        <v>Rp.</v>
      </c>
      <c r="L112" s="40">
        <f t="shared" si="19"/>
        <v>0</v>
      </c>
      <c r="M112" s="37"/>
    </row>
    <row r="113" spans="1:13">
      <c r="A113" s="33"/>
      <c r="B113" s="34">
        <v>5</v>
      </c>
      <c r="C113" s="34" t="s">
        <v>43</v>
      </c>
      <c r="D113" s="41"/>
      <c r="G113" s="38" t="s">
        <v>38</v>
      </c>
      <c r="I113" s="42"/>
      <c r="J113" s="1" t="s">
        <v>10</v>
      </c>
      <c r="K113" s="31"/>
      <c r="L113" s="40"/>
      <c r="M113" s="37"/>
    </row>
    <row r="114" spans="1:13">
      <c r="A114" s="33"/>
      <c r="B114" s="34"/>
      <c r="C114" s="1" t="s">
        <v>44</v>
      </c>
      <c r="D114" s="41"/>
      <c r="E114">
        <v>0</v>
      </c>
      <c r="F114" t="str">
        <f>+F115</f>
        <v>hari x</v>
      </c>
      <c r="G114" s="38">
        <v>1</v>
      </c>
      <c r="H114" t="str">
        <f>+H115</f>
        <v>x Rp.</v>
      </c>
      <c r="I114" s="42">
        <v>0</v>
      </c>
      <c r="K114" s="31" t="str">
        <f>+K112</f>
        <v>Rp.</v>
      </c>
      <c r="L114" s="40">
        <f t="shared" ref="L114:L116" si="22">+E114*G114*I114</f>
        <v>0</v>
      </c>
      <c r="M114" s="45"/>
    </row>
    <row r="115" spans="1:13">
      <c r="A115" s="33"/>
      <c r="B115" s="34"/>
      <c r="C115" s="1" t="s">
        <v>45</v>
      </c>
      <c r="D115" s="41"/>
      <c r="E115">
        <v>0</v>
      </c>
      <c r="F115" t="str">
        <f>+F112</f>
        <v>hari x</v>
      </c>
      <c r="G115" s="38">
        <v>1</v>
      </c>
      <c r="H115" t="str">
        <f>+H112</f>
        <v>x Rp.</v>
      </c>
      <c r="I115" s="42">
        <v>0</v>
      </c>
      <c r="K115" s="31" t="str">
        <f t="shared" si="20"/>
        <v>Rp.</v>
      </c>
      <c r="L115" s="40">
        <f t="shared" si="22"/>
        <v>0</v>
      </c>
      <c r="M115" s="39"/>
    </row>
    <row r="116" spans="1:13">
      <c r="A116" s="33"/>
      <c r="B116" s="34">
        <v>6</v>
      </c>
      <c r="C116" s="34" t="s">
        <v>46</v>
      </c>
      <c r="D116" s="41"/>
      <c r="E116">
        <v>0</v>
      </c>
      <c r="F116" t="s">
        <v>47</v>
      </c>
      <c r="G116" s="38">
        <v>1</v>
      </c>
      <c r="H116" t="str">
        <f>+H114</f>
        <v>x Rp.</v>
      </c>
      <c r="I116" s="42">
        <v>0</v>
      </c>
      <c r="K116" s="31" t="str">
        <f t="shared" si="20"/>
        <v>Rp.</v>
      </c>
      <c r="L116" s="40">
        <f t="shared" si="22"/>
        <v>0</v>
      </c>
      <c r="M116" s="37"/>
    </row>
    <row r="117" spans="1:13">
      <c r="A117" s="33"/>
      <c r="B117" s="34"/>
      <c r="D117" s="41"/>
      <c r="G117" s="38"/>
      <c r="I117" s="42"/>
      <c r="K117" s="31"/>
      <c r="L117" s="40"/>
      <c r="M117" s="30"/>
    </row>
    <row r="118" spans="1:13">
      <c r="A118" s="33"/>
      <c r="C118" s="1" t="s">
        <v>10</v>
      </c>
      <c r="D118" t="s">
        <v>10</v>
      </c>
      <c r="K118" s="31"/>
      <c r="L118" s="40"/>
      <c r="M118" s="30"/>
    </row>
    <row r="119" spans="1:13">
      <c r="A119" s="33"/>
      <c r="B119" s="34" t="s">
        <v>48</v>
      </c>
      <c r="E119" t="s">
        <v>10</v>
      </c>
      <c r="K119" s="31" t="s">
        <v>29</v>
      </c>
      <c r="L119" s="46">
        <f>SUM(L98:L116)</f>
        <v>670000</v>
      </c>
      <c r="M119" s="30"/>
    </row>
    <row r="120" spans="1:13">
      <c r="A120" s="33"/>
      <c r="D120" t="s">
        <v>10</v>
      </c>
      <c r="E120" t="s">
        <v>10</v>
      </c>
      <c r="J120" t="s">
        <v>10</v>
      </c>
      <c r="K120" s="31" t="s">
        <v>10</v>
      </c>
      <c r="L120" s="40"/>
      <c r="M120" s="30"/>
    </row>
    <row r="121" spans="1:13">
      <c r="A121" s="33" t="s">
        <v>49</v>
      </c>
      <c r="B121" s="34" t="s">
        <v>50</v>
      </c>
      <c r="K121" s="31"/>
      <c r="L121" s="40"/>
      <c r="M121" s="30"/>
    </row>
    <row r="122" spans="1:13">
      <c r="A122" s="33"/>
      <c r="B122" s="34">
        <v>1</v>
      </c>
      <c r="C122" s="34" t="s">
        <v>51</v>
      </c>
      <c r="K122" s="31"/>
      <c r="L122" s="40"/>
      <c r="M122" s="30"/>
    </row>
    <row r="123" spans="1:13">
      <c r="A123" s="33"/>
      <c r="C123" s="1" t="s">
        <v>52</v>
      </c>
      <c r="K123" s="31" t="s">
        <v>29</v>
      </c>
      <c r="L123" s="40">
        <v>0</v>
      </c>
      <c r="M123" s="30"/>
    </row>
    <row r="124" spans="1:13">
      <c r="A124" s="33"/>
      <c r="C124" s="1" t="s">
        <v>53</v>
      </c>
      <c r="K124" s="31" t="s">
        <v>29</v>
      </c>
      <c r="L124" s="40">
        <v>0</v>
      </c>
      <c r="M124" s="30"/>
    </row>
    <row r="125" spans="1:13">
      <c r="A125" s="33"/>
      <c r="C125" s="1" t="s">
        <v>54</v>
      </c>
      <c r="K125" s="31" t="s">
        <v>29</v>
      </c>
      <c r="L125" s="40">
        <v>0</v>
      </c>
      <c r="M125" s="30"/>
    </row>
    <row r="126" spans="1:13">
      <c r="A126" s="33"/>
      <c r="K126" s="31" t="s">
        <v>29</v>
      </c>
      <c r="L126" s="40">
        <v>0</v>
      </c>
      <c r="M126" s="30"/>
    </row>
    <row r="127" spans="1:13">
      <c r="A127" s="33"/>
      <c r="B127" s="34">
        <v>2</v>
      </c>
      <c r="C127" s="34" t="s">
        <v>55</v>
      </c>
      <c r="K127" s="31"/>
      <c r="L127" s="40"/>
      <c r="M127" s="30"/>
    </row>
    <row r="128" spans="1:13">
      <c r="A128" s="33"/>
      <c r="C128" s="1" t="s">
        <v>56</v>
      </c>
      <c r="D128" t="s">
        <v>57</v>
      </c>
      <c r="E128" t="s">
        <v>58</v>
      </c>
      <c r="F128" t="s">
        <v>34</v>
      </c>
      <c r="H128" t="s">
        <v>59</v>
      </c>
      <c r="I128" t="s">
        <v>60</v>
      </c>
      <c r="K128" s="31" t="s">
        <v>29</v>
      </c>
      <c r="L128" s="40">
        <v>0</v>
      </c>
      <c r="M128" s="30"/>
    </row>
    <row r="129" spans="1:13">
      <c r="A129" s="33"/>
      <c r="C129" s="1" t="s">
        <v>61</v>
      </c>
      <c r="K129" s="31"/>
      <c r="L129" s="40"/>
      <c r="M129" s="30"/>
    </row>
    <row r="130" spans="1:13">
      <c r="A130" s="33"/>
      <c r="B130" s="34">
        <v>3</v>
      </c>
      <c r="C130" s="1" t="s">
        <v>62</v>
      </c>
      <c r="K130" s="31"/>
      <c r="L130" s="40"/>
      <c r="M130" s="30"/>
    </row>
    <row r="131" spans="1:13">
      <c r="A131" s="33"/>
      <c r="B131" s="34"/>
      <c r="C131" s="1" t="s">
        <v>40</v>
      </c>
      <c r="E131">
        <v>0</v>
      </c>
      <c r="F131" t="str">
        <f>+F114</f>
        <v>hari x</v>
      </c>
      <c r="G131" s="38">
        <v>1</v>
      </c>
      <c r="H131">
        <f>+H132</f>
        <v>0</v>
      </c>
      <c r="I131" s="42">
        <v>0</v>
      </c>
      <c r="K131" s="31" t="str">
        <f>+K128</f>
        <v>Rp.</v>
      </c>
      <c r="L131" s="40">
        <f t="shared" ref="L131:L133" si="23">+E131*G131*I131</f>
        <v>0</v>
      </c>
      <c r="M131" s="30"/>
    </row>
    <row r="132" spans="1:13">
      <c r="A132" s="33"/>
      <c r="B132" s="34"/>
      <c r="C132" s="1" t="s">
        <v>41</v>
      </c>
      <c r="E132">
        <v>0</v>
      </c>
      <c r="F132" t="str">
        <f>+F131</f>
        <v>hari x</v>
      </c>
      <c r="G132" s="38">
        <v>1</v>
      </c>
      <c r="H132">
        <f>+H129</f>
        <v>0</v>
      </c>
      <c r="I132" s="42">
        <v>0</v>
      </c>
      <c r="K132" s="31" t="str">
        <f>+K131</f>
        <v>Rp.</v>
      </c>
      <c r="L132" s="40">
        <f t="shared" si="23"/>
        <v>0</v>
      </c>
      <c r="M132" s="30"/>
    </row>
    <row r="133" spans="1:13">
      <c r="A133" s="33"/>
      <c r="B133" s="34"/>
      <c r="C133" s="1" t="s">
        <v>42</v>
      </c>
      <c r="E133">
        <v>0</v>
      </c>
      <c r="F133" t="str">
        <f t="shared" ref="F133" si="24">+F132</f>
        <v>hari x</v>
      </c>
      <c r="G133" s="38">
        <v>0.5</v>
      </c>
      <c r="H133">
        <f t="shared" ref="H133" si="25">+H132</f>
        <v>0</v>
      </c>
      <c r="I133" s="42">
        <v>0</v>
      </c>
      <c r="K133" s="31" t="str">
        <f t="shared" ref="K133" si="26">+K132</f>
        <v>Rp.</v>
      </c>
      <c r="L133" s="40">
        <f t="shared" si="23"/>
        <v>0</v>
      </c>
      <c r="M133" s="30"/>
    </row>
    <row r="134" spans="1:13">
      <c r="A134" s="33"/>
      <c r="B134">
        <v>4</v>
      </c>
      <c r="C134" s="1" t="s">
        <v>63</v>
      </c>
      <c r="G134" s="41"/>
      <c r="I134" s="1" t="s">
        <v>10</v>
      </c>
      <c r="K134" s="31"/>
      <c r="L134" s="40"/>
      <c r="M134" s="30"/>
    </row>
    <row r="135" spans="1:13">
      <c r="A135" s="33"/>
      <c r="K135" s="31"/>
      <c r="L135" s="40"/>
      <c r="M135" s="30"/>
    </row>
    <row r="136" spans="1:13">
      <c r="A136" s="33"/>
      <c r="B136" s="34" t="s">
        <v>64</v>
      </c>
      <c r="C136" s="34"/>
      <c r="K136" s="31" t="s">
        <v>29</v>
      </c>
      <c r="L136" s="46">
        <f>SUM(L123:L135)</f>
        <v>0</v>
      </c>
      <c r="M136" s="30"/>
    </row>
    <row r="137" spans="1:13">
      <c r="A137" s="33"/>
      <c r="K137" s="31"/>
      <c r="L137" s="40"/>
      <c r="M137" s="30"/>
    </row>
    <row r="138" ht="15.15" spans="1:13">
      <c r="A138" s="33" t="s">
        <v>65</v>
      </c>
      <c r="B138" s="34" t="s">
        <v>66</v>
      </c>
      <c r="C138" s="34"/>
      <c r="K138" s="31" t="s">
        <v>29</v>
      </c>
      <c r="L138" s="46">
        <f>L136+L119</f>
        <v>670000</v>
      </c>
      <c r="M138" s="47"/>
    </row>
    <row r="139" spans="1:13">
      <c r="A139" s="30"/>
      <c r="G139" t="s">
        <v>10</v>
      </c>
      <c r="K139" s="48"/>
      <c r="L139" s="49"/>
      <c r="M139" s="47"/>
    </row>
    <row r="140" spans="1:13">
      <c r="A140" s="50"/>
      <c r="B140" s="51"/>
      <c r="C140" s="52"/>
      <c r="D140" s="52"/>
      <c r="E140" s="52"/>
      <c r="F140" s="53"/>
      <c r="G140" s="53"/>
      <c r="H140" s="53"/>
      <c r="I140" s="53"/>
      <c r="J140" s="54"/>
      <c r="K140" s="55"/>
      <c r="L140" s="54"/>
      <c r="M140" s="56"/>
    </row>
    <row r="141" spans="1:13">
      <c r="B141" t="s">
        <v>10</v>
      </c>
      <c r="K141" s="57"/>
      <c r="L141" s="57"/>
      <c r="M141" s="57"/>
    </row>
    <row r="142" spans="1:13">
      <c r="A142" t="s">
        <v>67</v>
      </c>
      <c r="H142" t="s">
        <v>68</v>
      </c>
    </row>
    <row r="143" spans="1:13">
      <c r="B143">
        <v>1</v>
      </c>
      <c r="C143" s="34" t="s">
        <v>29</v>
      </c>
      <c r="D143" s="34"/>
      <c r="E143" s="58">
        <f>+L138</f>
        <v>670000</v>
      </c>
      <c r="H143">
        <v>1</v>
      </c>
      <c r="I143" s="34" t="s">
        <v>29</v>
      </c>
      <c r="L143" s="59">
        <f>+L138</f>
        <v>670000</v>
      </c>
    </row>
    <row r="144" spans="1:13">
      <c r="A144" s="60"/>
      <c r="C144" s="34"/>
      <c r="I144" s="34"/>
    </row>
    <row r="145" spans="1:13">
      <c r="G145" t="s">
        <v>10</v>
      </c>
    </row>
    <row r="146" spans="1:13">
      <c r="B146" s="61" t="s">
        <v>69</v>
      </c>
      <c r="C146" s="61"/>
      <c r="H146" s="62" t="s">
        <v>70</v>
      </c>
      <c r="I146" s="62"/>
      <c r="J146" s="62"/>
      <c r="K146" s="62"/>
      <c r="L146" s="62"/>
    </row>
    <row r="147" spans="1:13">
      <c r="H147" s="63"/>
      <c r="I147" s="63"/>
      <c r="J147" s="63"/>
      <c r="K147" s="63"/>
      <c r="L147" s="63"/>
    </row>
    <row r="148" spans="1:13">
      <c r="H148" s="63"/>
      <c r="I148" s="63"/>
      <c r="J148" s="63"/>
      <c r="K148" s="63"/>
      <c r="L148" s="63"/>
    </row>
    <row r="149" spans="1:13">
      <c r="H149" s="63"/>
      <c r="I149" s="63"/>
      <c r="J149" s="63"/>
      <c r="K149" s="63"/>
      <c r="L149" s="63"/>
    </row>
    <row r="151" spans="1:13">
      <c r="B151" s="61" t="s">
        <v>71</v>
      </c>
      <c r="C151" s="61"/>
      <c r="H151" s="62" t="str">
        <f>E90</f>
        <v>AKRAM ASSIDIK</v>
      </c>
      <c r="I151" s="62"/>
      <c r="J151" s="62"/>
      <c r="K151" s="62"/>
      <c r="L151" s="62"/>
    </row>
    <row r="152" ht="16.2" spans="1:13">
      <c r="A152" s="2"/>
      <c r="B152" s="3"/>
      <c r="C152" s="64"/>
      <c r="D152" s="64"/>
      <c r="E152" s="64"/>
      <c r="F152" s="2"/>
      <c r="G152" s="2"/>
      <c r="H152" s="2"/>
      <c r="I152" s="3"/>
      <c r="J152" s="3"/>
      <c r="K152" s="3"/>
      <c r="L152" s="3"/>
      <c r="M152" s="3"/>
    </row>
    <row r="153" ht="16.2" spans="1:13">
      <c r="A153" s="2"/>
      <c r="B153" s="5"/>
      <c r="C153" s="64"/>
      <c r="D153" s="64"/>
      <c r="E153" s="64"/>
      <c r="F153" s="2"/>
      <c r="G153" s="2"/>
      <c r="H153" s="2"/>
      <c r="I153" s="3"/>
      <c r="J153" s="3"/>
      <c r="K153" s="3"/>
      <c r="L153" s="3"/>
      <c r="M153" s="3"/>
    </row>
    <row r="154" ht="16.2" spans="1:13">
      <c r="A154" s="2"/>
      <c r="B154" s="5"/>
      <c r="C154" s="6"/>
      <c r="D154" s="3"/>
      <c r="E154" s="2"/>
      <c r="F154" s="2"/>
      <c r="G154" s="2"/>
      <c r="H154" s="2"/>
      <c r="I154" s="3"/>
      <c r="J154" s="3"/>
      <c r="K154" s="3"/>
      <c r="L154" s="3"/>
      <c r="M154" s="3"/>
    </row>
    <row r="155" ht="15.6" spans="1:13">
      <c r="A155" s="7"/>
      <c r="B155" s="8"/>
      <c r="C155" s="7"/>
      <c r="D155" s="9"/>
      <c r="E155" s="9"/>
      <c r="F155" s="10"/>
      <c r="G155" s="10"/>
      <c r="H155" s="9"/>
      <c r="I155" s="10"/>
      <c r="J155" s="10"/>
      <c r="K155" s="11"/>
      <c r="L155" s="7"/>
      <c r="M155" s="3"/>
    </row>
    <row r="156" ht="15.6" spans="1:13">
      <c r="A156" s="12"/>
      <c r="B156" s="13"/>
      <c r="C156" s="7"/>
      <c r="D156" s="9"/>
      <c r="E156" s="9"/>
      <c r="F156" s="10"/>
      <c r="G156" s="10"/>
      <c r="H156" s="9"/>
      <c r="I156" s="10"/>
      <c r="J156" s="10"/>
      <c r="K156" s="7"/>
      <c r="L156" s="73" t="s">
        <v>0</v>
      </c>
      <c r="M156" s="3"/>
    </row>
    <row r="157" ht="16.2" spans="1:13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</row>
    <row r="158" ht="15.6" spans="1:13">
      <c r="A158" s="14" t="s">
        <v>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60" ht="15" spans="1:13">
      <c r="C160" s="1" t="s">
        <v>2</v>
      </c>
      <c r="D160" t="s">
        <v>3</v>
      </c>
      <c r="E160" s="15"/>
    </row>
    <row r="161" spans="1:17">
      <c r="C161" s="1" t="s">
        <v>4</v>
      </c>
      <c r="D161" t="s">
        <v>3</v>
      </c>
      <c r="E161" s="65">
        <v>46278</v>
      </c>
      <c r="F161" s="17" t="s">
        <v>5</v>
      </c>
      <c r="G161" s="66">
        <v>46278</v>
      </c>
      <c r="H161" s="66"/>
      <c r="I161" s="66"/>
    </row>
    <row r="162" ht="15" spans="1:17">
      <c r="C162" s="1" t="s">
        <v>6</v>
      </c>
      <c r="D162" t="s">
        <v>3</v>
      </c>
      <c r="E162" s="15" t="s">
        <v>105</v>
      </c>
    </row>
    <row r="163" ht="15" customHeight="1" spans="1:17">
      <c r="C163" s="19" t="s">
        <v>8</v>
      </c>
      <c r="D163" t="s">
        <v>3</v>
      </c>
      <c r="E163" s="20" t="s">
        <v>106</v>
      </c>
      <c r="F163" s="20"/>
      <c r="G163" s="20"/>
      <c r="H163" s="20"/>
      <c r="I163" s="20"/>
      <c r="J163" s="20"/>
      <c r="K163" s="20"/>
      <c r="L163" s="20"/>
      <c r="M163" s="20"/>
    </row>
    <row r="164" spans="1:17">
      <c r="C164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7">
      <c r="C165" s="1" t="s">
        <v>11</v>
      </c>
      <c r="D165" t="s">
        <v>3</v>
      </c>
      <c r="E165" s="21" t="s">
        <v>13</v>
      </c>
      <c r="F165" s="16"/>
      <c r="G165" s="17"/>
      <c r="H165" s="18"/>
      <c r="I165" s="18"/>
      <c r="N165" s="21" t="s">
        <v>13</v>
      </c>
      <c r="O165" s="21" t="s">
        <v>14</v>
      </c>
      <c r="P165" s="21" t="s">
        <v>12</v>
      </c>
      <c r="Q165" s="21" t="s">
        <v>15</v>
      </c>
    </row>
    <row r="166" ht="15.6" spans="1:17">
      <c r="C166" s="1" t="s">
        <v>16</v>
      </c>
      <c r="D166" t="s">
        <v>3</v>
      </c>
      <c r="E166" s="22" t="s">
        <v>104</v>
      </c>
      <c r="F166" s="22"/>
      <c r="G166" s="22"/>
      <c r="H166" s="22"/>
      <c r="I166" s="22"/>
    </row>
    <row r="167" ht="15.6" spans="1:17">
      <c r="C167" s="1" t="s">
        <v>18</v>
      </c>
      <c r="D167" t="s">
        <v>3</v>
      </c>
      <c r="E167" s="23" t="s">
        <v>19</v>
      </c>
      <c r="F167" s="24"/>
    </row>
    <row r="168" spans="1:17">
      <c r="E168" s="24"/>
    </row>
    <row r="169" spans="1:17">
      <c r="A169" s="25" t="s">
        <v>20</v>
      </c>
      <c r="B169" s="26" t="s">
        <v>21</v>
      </c>
      <c r="C169" s="27"/>
      <c r="D169" s="27"/>
      <c r="E169" s="27"/>
      <c r="F169" s="27"/>
      <c r="G169" s="27"/>
      <c r="H169" s="27"/>
      <c r="I169" s="27"/>
      <c r="J169" s="28"/>
      <c r="K169" s="26" t="s">
        <v>22</v>
      </c>
      <c r="L169" s="28"/>
      <c r="M169" s="29" t="s">
        <v>23</v>
      </c>
    </row>
    <row r="170" spans="1:17">
      <c r="A170" s="30"/>
      <c r="K170" s="31"/>
      <c r="L170" s="32"/>
      <c r="M170" s="30"/>
    </row>
    <row r="171" spans="1:17">
      <c r="A171" s="33" t="s">
        <v>24</v>
      </c>
      <c r="B171" t="s">
        <v>25</v>
      </c>
      <c r="K171" s="31"/>
      <c r="L171" s="32"/>
      <c r="M171" s="30"/>
    </row>
    <row r="172" spans="1:17">
      <c r="A172" s="33"/>
      <c r="K172" s="31"/>
      <c r="L172" s="32"/>
      <c r="M172" s="30"/>
    </row>
    <row r="173" spans="1:17">
      <c r="A173" s="33"/>
      <c r="B173" s="34">
        <v>1</v>
      </c>
      <c r="C173" s="34" t="s">
        <v>26</v>
      </c>
      <c r="K173" s="31"/>
      <c r="L173" s="32"/>
      <c r="M173" s="30"/>
    </row>
    <row r="174" spans="1:17">
      <c r="A174" s="33"/>
      <c r="B174" s="34"/>
      <c r="C174" s="1" t="s">
        <v>27</v>
      </c>
      <c r="G174">
        <v>0</v>
      </c>
      <c r="H174" s="1" t="s">
        <v>28</v>
      </c>
      <c r="I174" s="35">
        <v>0</v>
      </c>
      <c r="K174" s="31" t="s">
        <v>29</v>
      </c>
      <c r="L174" s="36">
        <f t="shared" ref="L174:L176" si="27">+I174*G174</f>
        <v>0</v>
      </c>
      <c r="M174" s="37"/>
    </row>
    <row r="175" spans="1:17">
      <c r="A175" s="33"/>
      <c r="B175" s="34"/>
      <c r="C175" s="1" t="s">
        <v>30</v>
      </c>
      <c r="G175">
        <v>0</v>
      </c>
      <c r="H175" t="s">
        <v>28</v>
      </c>
      <c r="I175" s="35">
        <v>0</v>
      </c>
      <c r="J175" s="38"/>
      <c r="K175" s="31" t="s">
        <v>29</v>
      </c>
      <c r="L175" s="36">
        <f t="shared" si="27"/>
        <v>0</v>
      </c>
      <c r="M175" s="39"/>
    </row>
    <row r="176" spans="1:17">
      <c r="A176" s="33"/>
      <c r="B176" s="34"/>
      <c r="C176" s="1" t="s">
        <v>31</v>
      </c>
      <c r="G176">
        <v>0</v>
      </c>
      <c r="H176" t="s">
        <v>28</v>
      </c>
      <c r="I176" s="35">
        <v>0</v>
      </c>
      <c r="K176" s="31" t="s">
        <v>29</v>
      </c>
      <c r="L176" s="36">
        <f t="shared" si="27"/>
        <v>0</v>
      </c>
      <c r="M176" s="37"/>
    </row>
    <row r="177" spans="1:13">
      <c r="A177" s="33"/>
      <c r="B177" s="34">
        <v>2</v>
      </c>
      <c r="C177" s="34" t="s">
        <v>32</v>
      </c>
      <c r="D177" s="34"/>
      <c r="K177" s="31"/>
      <c r="L177" s="40"/>
      <c r="M177" s="30"/>
    </row>
    <row r="178" spans="1:13">
      <c r="A178" s="33"/>
      <c r="B178" s="34"/>
      <c r="C178" s="1" t="s">
        <v>33</v>
      </c>
      <c r="D178" s="41"/>
      <c r="E178">
        <v>1</v>
      </c>
      <c r="F178" t="s">
        <v>34</v>
      </c>
      <c r="G178" s="38">
        <v>1</v>
      </c>
      <c r="H178" t="s">
        <v>28</v>
      </c>
      <c r="I178" s="42">
        <v>190000</v>
      </c>
      <c r="K178" s="31" t="s">
        <v>29</v>
      </c>
      <c r="L178" s="43">
        <f t="shared" ref="L178:L180" si="28">I178*G178*E178</f>
        <v>190000</v>
      </c>
      <c r="M178" s="37"/>
    </row>
    <row r="179" spans="1:13">
      <c r="A179" s="33"/>
      <c r="B179" s="34"/>
      <c r="C179" s="1" t="s">
        <v>35</v>
      </c>
      <c r="D179" s="41"/>
      <c r="E179">
        <v>0</v>
      </c>
      <c r="F179" t="s">
        <v>34</v>
      </c>
      <c r="G179" s="38">
        <v>1</v>
      </c>
      <c r="H179" t="str">
        <f t="shared" ref="H179:H180" si="29">+H178</f>
        <v>x Rp.</v>
      </c>
      <c r="I179" s="42">
        <v>50000</v>
      </c>
      <c r="K179" s="31" t="str">
        <f t="shared" ref="K179:K180" si="30">+K178</f>
        <v>Rp.</v>
      </c>
      <c r="L179" s="43">
        <f t="shared" si="28"/>
        <v>0</v>
      </c>
      <c r="M179" s="37"/>
    </row>
    <row r="180" spans="1:13">
      <c r="A180" s="33"/>
      <c r="B180" s="34"/>
      <c r="C180" s="1" t="s">
        <v>36</v>
      </c>
      <c r="D180" s="41"/>
      <c r="E180">
        <v>0</v>
      </c>
      <c r="F180" t="s">
        <v>34</v>
      </c>
      <c r="G180" s="38">
        <v>1</v>
      </c>
      <c r="H180" t="str">
        <f t="shared" si="29"/>
        <v>x Rp.</v>
      </c>
      <c r="I180" s="42">
        <v>250000</v>
      </c>
      <c r="K180" s="31" t="str">
        <f t="shared" si="30"/>
        <v>Rp.</v>
      </c>
      <c r="L180" s="43">
        <f t="shared" si="28"/>
        <v>0</v>
      </c>
      <c r="M180" s="44"/>
    </row>
    <row r="181" spans="1:13">
      <c r="A181" s="33"/>
      <c r="B181" s="34">
        <v>3</v>
      </c>
      <c r="C181" s="34" t="s">
        <v>37</v>
      </c>
      <c r="D181" s="41"/>
      <c r="G181" s="38" t="s">
        <v>38</v>
      </c>
      <c r="I181" s="42"/>
      <c r="J181" s="1" t="s">
        <v>10</v>
      </c>
      <c r="K181" s="31"/>
      <c r="L181" s="40"/>
      <c r="M181" s="37"/>
    </row>
    <row r="182" spans="1:13">
      <c r="A182" s="33"/>
      <c r="B182" s="34"/>
      <c r="C182" s="1" t="s">
        <v>33</v>
      </c>
      <c r="D182" s="41"/>
      <c r="E182">
        <v>0</v>
      </c>
      <c r="F182" t="s">
        <v>34</v>
      </c>
      <c r="G182" s="38">
        <v>1</v>
      </c>
      <c r="H182" t="str">
        <f>+H180</f>
        <v>x Rp.</v>
      </c>
      <c r="I182" s="42">
        <v>0</v>
      </c>
      <c r="K182" s="31" t="s">
        <v>29</v>
      </c>
      <c r="L182" s="40">
        <f t="shared" ref="L182:L184" si="31">+E182*G182*I182</f>
        <v>0</v>
      </c>
      <c r="M182" s="39"/>
    </row>
    <row r="183" spans="1:13">
      <c r="A183" s="33"/>
      <c r="B183" s="34"/>
      <c r="C183" s="1" t="s">
        <v>35</v>
      </c>
      <c r="D183" s="41"/>
      <c r="E183">
        <v>0</v>
      </c>
      <c r="F183" t="s">
        <v>34</v>
      </c>
      <c r="G183" s="38">
        <v>1</v>
      </c>
      <c r="H183" t="str">
        <f t="shared" ref="H183" si="32">+H182</f>
        <v>x Rp.</v>
      </c>
      <c r="I183" s="42">
        <v>0</v>
      </c>
      <c r="K183" s="31" t="str">
        <f t="shared" ref="K183" si="33">+K182</f>
        <v>Rp.</v>
      </c>
      <c r="L183" s="40">
        <f t="shared" si="31"/>
        <v>0</v>
      </c>
      <c r="M183" s="37"/>
    </row>
    <row r="184" spans="1:13">
      <c r="A184" s="33"/>
      <c r="B184" s="34"/>
      <c r="C184" s="1" t="s">
        <v>36</v>
      </c>
      <c r="D184" s="41"/>
      <c r="E184">
        <v>0</v>
      </c>
      <c r="F184" t="s">
        <v>34</v>
      </c>
      <c r="G184" s="38">
        <v>1</v>
      </c>
      <c r="H184" t="s">
        <v>28</v>
      </c>
      <c r="I184" s="42">
        <v>0</v>
      </c>
      <c r="K184" s="31" t="s">
        <v>29</v>
      </c>
      <c r="L184" s="40">
        <f t="shared" si="31"/>
        <v>0</v>
      </c>
      <c r="M184" s="30"/>
    </row>
    <row r="185" spans="1:13">
      <c r="A185" s="33"/>
      <c r="B185" s="34">
        <v>4</v>
      </c>
      <c r="C185" s="34" t="s">
        <v>39</v>
      </c>
      <c r="D185" s="41"/>
      <c r="G185" s="38" t="s">
        <v>38</v>
      </c>
      <c r="I185" s="42"/>
      <c r="J185" s="1" t="s">
        <v>10</v>
      </c>
      <c r="K185" s="31"/>
      <c r="L185" s="40"/>
      <c r="M185" s="37"/>
    </row>
    <row r="186" spans="1:13">
      <c r="A186" s="33"/>
      <c r="B186" s="34"/>
      <c r="C186" s="1" t="s">
        <v>40</v>
      </c>
      <c r="D186" s="41"/>
      <c r="E186">
        <v>0</v>
      </c>
      <c r="F186" t="s">
        <v>34</v>
      </c>
      <c r="G186" s="38">
        <v>1</v>
      </c>
      <c r="H186" t="str">
        <f>+H187</f>
        <v>x Rp.</v>
      </c>
      <c r="I186" s="42">
        <v>0</v>
      </c>
      <c r="K186" s="31" t="str">
        <f>+K184</f>
        <v>Rp.</v>
      </c>
      <c r="L186" s="40">
        <f t="shared" ref="L186:L188" si="34">+E186*G186*I186</f>
        <v>0</v>
      </c>
      <c r="M186" s="45"/>
    </row>
    <row r="187" spans="1:13">
      <c r="A187" s="33"/>
      <c r="B187" s="34"/>
      <c r="C187" s="1" t="s">
        <v>41</v>
      </c>
      <c r="D187" s="41"/>
      <c r="E187">
        <v>0</v>
      </c>
      <c r="F187" t="s">
        <v>34</v>
      </c>
      <c r="G187" s="38">
        <v>1</v>
      </c>
      <c r="H187" t="str">
        <f>+H184</f>
        <v>x Rp.</v>
      </c>
      <c r="I187" s="42">
        <v>0</v>
      </c>
      <c r="K187" s="31" t="str">
        <f t="shared" ref="K187:K192" si="35">+K186</f>
        <v>Rp.</v>
      </c>
      <c r="L187" s="40">
        <f t="shared" si="34"/>
        <v>0</v>
      </c>
      <c r="M187" s="39"/>
    </row>
    <row r="188" spans="1:13">
      <c r="A188" s="33"/>
      <c r="B188" s="34"/>
      <c r="C188" s="1" t="s">
        <v>42</v>
      </c>
      <c r="D188" s="41"/>
      <c r="E188">
        <v>0</v>
      </c>
      <c r="F188" t="s">
        <v>34</v>
      </c>
      <c r="G188" s="38">
        <v>1</v>
      </c>
      <c r="H188" t="str">
        <f t="shared" ref="H188" si="36">+H187</f>
        <v>x Rp.</v>
      </c>
      <c r="I188" s="42">
        <v>0</v>
      </c>
      <c r="K188" s="31" t="str">
        <f t="shared" si="35"/>
        <v>Rp.</v>
      </c>
      <c r="L188" s="40">
        <f t="shared" si="34"/>
        <v>0</v>
      </c>
      <c r="M188" s="37"/>
    </row>
    <row r="189" spans="1:13">
      <c r="A189" s="33"/>
      <c r="B189" s="34">
        <v>5</v>
      </c>
      <c r="C189" s="34" t="s">
        <v>43</v>
      </c>
      <c r="D189" s="41"/>
      <c r="G189" s="38" t="s">
        <v>38</v>
      </c>
      <c r="I189" s="42"/>
      <c r="J189" s="1" t="s">
        <v>10</v>
      </c>
      <c r="K189" s="31"/>
      <c r="L189" s="40"/>
      <c r="M189" s="37"/>
    </row>
    <row r="190" spans="1:13">
      <c r="A190" s="33"/>
      <c r="B190" s="34"/>
      <c r="C190" s="1" t="s">
        <v>44</v>
      </c>
      <c r="D190" s="41"/>
      <c r="E190">
        <v>0</v>
      </c>
      <c r="F190" t="str">
        <f>+F191</f>
        <v>hari x</v>
      </c>
      <c r="G190" s="38">
        <v>1</v>
      </c>
      <c r="H190" t="str">
        <f>+H191</f>
        <v>x Rp.</v>
      </c>
      <c r="I190" s="42">
        <v>0</v>
      </c>
      <c r="K190" s="31" t="str">
        <f>+K188</f>
        <v>Rp.</v>
      </c>
      <c r="L190" s="40">
        <f t="shared" ref="L190:L192" si="37">+E190*G190*I190</f>
        <v>0</v>
      </c>
      <c r="M190" s="45"/>
    </row>
    <row r="191" spans="1:13">
      <c r="A191" s="33"/>
      <c r="B191" s="34"/>
      <c r="C191" s="1" t="s">
        <v>45</v>
      </c>
      <c r="D191" s="41"/>
      <c r="E191">
        <v>0</v>
      </c>
      <c r="F191" t="str">
        <f>+F188</f>
        <v>hari x</v>
      </c>
      <c r="G191" s="38">
        <v>1</v>
      </c>
      <c r="H191" t="str">
        <f>+H188</f>
        <v>x Rp.</v>
      </c>
      <c r="I191" s="42">
        <v>0</v>
      </c>
      <c r="K191" s="31" t="str">
        <f t="shared" si="35"/>
        <v>Rp.</v>
      </c>
      <c r="L191" s="40">
        <f t="shared" si="37"/>
        <v>0</v>
      </c>
      <c r="M191" s="39"/>
    </row>
    <row r="192" spans="1:13">
      <c r="A192" s="33"/>
      <c r="B192" s="34">
        <v>6</v>
      </c>
      <c r="C192" s="34" t="s">
        <v>46</v>
      </c>
      <c r="D192" s="41"/>
      <c r="E192">
        <v>0</v>
      </c>
      <c r="F192" t="s">
        <v>47</v>
      </c>
      <c r="G192" s="38">
        <v>1</v>
      </c>
      <c r="H192" t="str">
        <f>+H190</f>
        <v>x Rp.</v>
      </c>
      <c r="I192" s="42">
        <v>0</v>
      </c>
      <c r="K192" s="31" t="str">
        <f t="shared" si="35"/>
        <v>Rp.</v>
      </c>
      <c r="L192" s="40">
        <f t="shared" si="37"/>
        <v>0</v>
      </c>
      <c r="M192" s="37"/>
    </row>
    <row r="193" spans="1:13">
      <c r="A193" s="33"/>
      <c r="B193" s="34"/>
      <c r="D193" s="41"/>
      <c r="G193" s="38"/>
      <c r="I193" s="42"/>
      <c r="K193" s="31"/>
      <c r="L193" s="40"/>
      <c r="M193" s="30"/>
    </row>
    <row r="194" spans="1:13">
      <c r="A194" s="33"/>
      <c r="C194" s="1" t="s">
        <v>10</v>
      </c>
      <c r="D194" t="s">
        <v>10</v>
      </c>
      <c r="K194" s="31"/>
      <c r="L194" s="40"/>
      <c r="M194" s="30"/>
    </row>
    <row r="195" spans="1:13">
      <c r="A195" s="33"/>
      <c r="B195" s="34" t="s">
        <v>48</v>
      </c>
      <c r="E195" t="s">
        <v>10</v>
      </c>
      <c r="K195" s="31" t="s">
        <v>29</v>
      </c>
      <c r="L195" s="46">
        <f>SUM(L174:L192)</f>
        <v>190000</v>
      </c>
      <c r="M195" s="30"/>
    </row>
    <row r="196" spans="1:13">
      <c r="A196" s="33"/>
      <c r="D196" t="s">
        <v>10</v>
      </c>
      <c r="E196" t="s">
        <v>10</v>
      </c>
      <c r="J196" t="s">
        <v>10</v>
      </c>
      <c r="K196" s="31" t="s">
        <v>10</v>
      </c>
      <c r="L196" s="40"/>
      <c r="M196" s="30"/>
    </row>
    <row r="197" spans="1:13">
      <c r="A197" s="33" t="s">
        <v>49</v>
      </c>
      <c r="B197" s="34" t="s">
        <v>50</v>
      </c>
      <c r="K197" s="31"/>
      <c r="L197" s="40"/>
      <c r="M197" s="30"/>
    </row>
    <row r="198" spans="1:13">
      <c r="A198" s="33"/>
      <c r="B198" s="34">
        <v>1</v>
      </c>
      <c r="C198" s="34" t="s">
        <v>51</v>
      </c>
      <c r="K198" s="31"/>
      <c r="L198" s="40"/>
      <c r="M198" s="30"/>
    </row>
    <row r="199" spans="1:13">
      <c r="A199" s="33"/>
      <c r="C199" s="1" t="s">
        <v>52</v>
      </c>
      <c r="K199" s="31" t="s">
        <v>29</v>
      </c>
      <c r="L199" s="40">
        <v>0</v>
      </c>
      <c r="M199" s="30"/>
    </row>
    <row r="200" spans="1:13">
      <c r="A200" s="33"/>
      <c r="C200" s="1" t="s">
        <v>53</v>
      </c>
      <c r="K200" s="31" t="s">
        <v>29</v>
      </c>
      <c r="L200" s="40">
        <v>0</v>
      </c>
      <c r="M200" s="30"/>
    </row>
    <row r="201" spans="1:13">
      <c r="A201" s="33"/>
      <c r="C201" s="1" t="s">
        <v>54</v>
      </c>
      <c r="K201" s="31" t="s">
        <v>29</v>
      </c>
      <c r="L201" s="40">
        <v>0</v>
      </c>
      <c r="M201" s="30"/>
    </row>
    <row r="202" spans="1:13">
      <c r="A202" s="33"/>
      <c r="K202" s="31" t="s">
        <v>29</v>
      </c>
      <c r="L202" s="40">
        <v>0</v>
      </c>
      <c r="M202" s="30"/>
    </row>
    <row r="203" spans="1:13">
      <c r="A203" s="33"/>
      <c r="B203" s="34">
        <v>2</v>
      </c>
      <c r="C203" s="34" t="s">
        <v>55</v>
      </c>
      <c r="K203" s="31"/>
      <c r="L203" s="40"/>
      <c r="M203" s="30"/>
    </row>
    <row r="204" spans="1:13">
      <c r="A204" s="33"/>
      <c r="C204" s="1" t="s">
        <v>56</v>
      </c>
      <c r="D204" t="s">
        <v>57</v>
      </c>
      <c r="E204" t="s">
        <v>58</v>
      </c>
      <c r="F204" t="s">
        <v>34</v>
      </c>
      <c r="H204" t="s">
        <v>59</v>
      </c>
      <c r="I204" t="s">
        <v>60</v>
      </c>
      <c r="K204" s="31" t="s">
        <v>29</v>
      </c>
      <c r="L204" s="40">
        <v>0</v>
      </c>
      <c r="M204" s="30"/>
    </row>
    <row r="205" spans="1:13">
      <c r="A205" s="33"/>
      <c r="C205" s="1" t="s">
        <v>61</v>
      </c>
      <c r="K205" s="31"/>
      <c r="L205" s="40"/>
      <c r="M205" s="30"/>
    </row>
    <row r="206" spans="1:13">
      <c r="A206" s="33"/>
      <c r="B206" s="34">
        <v>3</v>
      </c>
      <c r="C206" s="1" t="s">
        <v>62</v>
      </c>
      <c r="K206" s="31"/>
      <c r="L206" s="40"/>
      <c r="M206" s="30"/>
    </row>
    <row r="207" spans="1:13">
      <c r="A207" s="33"/>
      <c r="B207" s="34"/>
      <c r="C207" s="1" t="s">
        <v>40</v>
      </c>
      <c r="E207">
        <v>0</v>
      </c>
      <c r="F207" t="str">
        <f>+F190</f>
        <v>hari x</v>
      </c>
      <c r="G207" s="38">
        <v>1</v>
      </c>
      <c r="H207">
        <f>+H208</f>
        <v>0</v>
      </c>
      <c r="I207" s="42">
        <v>0</v>
      </c>
      <c r="K207" s="31" t="str">
        <f>+K204</f>
        <v>Rp.</v>
      </c>
      <c r="L207" s="40">
        <f t="shared" ref="L207:L209" si="38">+E207*G207*I207</f>
        <v>0</v>
      </c>
      <c r="M207" s="30"/>
    </row>
    <row r="208" spans="1:13">
      <c r="A208" s="33"/>
      <c r="B208" s="34"/>
      <c r="C208" s="1" t="s">
        <v>41</v>
      </c>
      <c r="E208">
        <v>0</v>
      </c>
      <c r="F208" t="str">
        <f>+F207</f>
        <v>hari x</v>
      </c>
      <c r="G208" s="38">
        <v>1</v>
      </c>
      <c r="H208">
        <f>+H205</f>
        <v>0</v>
      </c>
      <c r="I208" s="42">
        <v>0</v>
      </c>
      <c r="K208" s="31" t="str">
        <f>+K207</f>
        <v>Rp.</v>
      </c>
      <c r="L208" s="40">
        <f t="shared" si="38"/>
        <v>0</v>
      </c>
      <c r="M208" s="30"/>
    </row>
    <row r="209" spans="1:13">
      <c r="A209" s="33"/>
      <c r="B209" s="34"/>
      <c r="C209" s="1" t="s">
        <v>42</v>
      </c>
      <c r="E209">
        <v>0</v>
      </c>
      <c r="F209" t="str">
        <f t="shared" ref="F209" si="39">+F208</f>
        <v>hari x</v>
      </c>
      <c r="G209" s="38">
        <v>0.5</v>
      </c>
      <c r="H209">
        <f t="shared" ref="H209" si="40">+H208</f>
        <v>0</v>
      </c>
      <c r="I209" s="42">
        <v>0</v>
      </c>
      <c r="K209" s="31" t="str">
        <f t="shared" ref="K209" si="41">+K208</f>
        <v>Rp.</v>
      </c>
      <c r="L209" s="40">
        <f t="shared" si="38"/>
        <v>0</v>
      </c>
      <c r="M209" s="30"/>
    </row>
    <row r="210" spans="1:13">
      <c r="A210" s="33"/>
      <c r="B210">
        <v>4</v>
      </c>
      <c r="C210" s="1" t="s">
        <v>63</v>
      </c>
      <c r="G210" s="41"/>
      <c r="I210" s="1" t="s">
        <v>10</v>
      </c>
      <c r="K210" s="31"/>
      <c r="L210" s="40"/>
      <c r="M210" s="30"/>
    </row>
    <row r="211" spans="1:13">
      <c r="A211" s="33"/>
      <c r="K211" s="31"/>
      <c r="L211" s="40"/>
      <c r="M211" s="30"/>
    </row>
    <row r="212" spans="1:13">
      <c r="A212" s="33"/>
      <c r="B212" s="34" t="s">
        <v>64</v>
      </c>
      <c r="C212" s="34"/>
      <c r="K212" s="31" t="s">
        <v>29</v>
      </c>
      <c r="L212" s="46">
        <f>SUM(L199:L211)</f>
        <v>0</v>
      </c>
      <c r="M212" s="30"/>
    </row>
    <row r="213" spans="1:13">
      <c r="A213" s="33"/>
      <c r="K213" s="31"/>
      <c r="L213" s="40"/>
      <c r="M213" s="30"/>
    </row>
    <row r="214" ht="15.15" spans="1:13">
      <c r="A214" s="33" t="s">
        <v>65</v>
      </c>
      <c r="B214" s="34" t="s">
        <v>66</v>
      </c>
      <c r="C214" s="34"/>
      <c r="K214" s="31" t="s">
        <v>29</v>
      </c>
      <c r="L214" s="46">
        <f>L212+L195</f>
        <v>190000</v>
      </c>
      <c r="M214" s="47"/>
    </row>
    <row r="215" spans="1:13">
      <c r="A215" s="30"/>
      <c r="G215" t="s">
        <v>10</v>
      </c>
      <c r="K215" s="48"/>
      <c r="L215" s="49"/>
      <c r="M215" s="47"/>
    </row>
    <row r="216" spans="1:13">
      <c r="A216" s="50"/>
      <c r="B216" s="51"/>
      <c r="C216" s="52"/>
      <c r="D216" s="52"/>
      <c r="E216" s="52"/>
      <c r="F216" s="53"/>
      <c r="G216" s="53"/>
      <c r="H216" s="53"/>
      <c r="I216" s="53"/>
      <c r="J216" s="54"/>
      <c r="K216" s="55"/>
      <c r="L216" s="54"/>
      <c r="M216" s="56"/>
    </row>
    <row r="217" spans="1:13">
      <c r="B217" t="s">
        <v>10</v>
      </c>
      <c r="K217" s="57"/>
      <c r="L217" s="57"/>
      <c r="M217" s="57"/>
    </row>
    <row r="218" spans="1:13">
      <c r="A218" t="s">
        <v>67</v>
      </c>
      <c r="H218" t="s">
        <v>68</v>
      </c>
    </row>
    <row r="219" spans="1:13">
      <c r="B219">
        <v>1</v>
      </c>
      <c r="C219" s="34" t="s">
        <v>29</v>
      </c>
      <c r="D219" s="34"/>
      <c r="E219" s="58">
        <f>+L214</f>
        <v>190000</v>
      </c>
      <c r="H219">
        <v>1</v>
      </c>
      <c r="I219" s="34" t="s">
        <v>29</v>
      </c>
      <c r="L219" s="59">
        <f>+L214</f>
        <v>190000</v>
      </c>
    </row>
    <row r="220" spans="1:13">
      <c r="A220" s="60"/>
      <c r="C220" s="34"/>
      <c r="I220" s="34"/>
    </row>
    <row r="221" spans="1:13">
      <c r="G221" t="s">
        <v>10</v>
      </c>
    </row>
    <row r="222" spans="1:13">
      <c r="B222" s="61" t="s">
        <v>69</v>
      </c>
      <c r="C222" s="61"/>
      <c r="H222" s="62" t="s">
        <v>70</v>
      </c>
      <c r="I222" s="62"/>
      <c r="J222" s="62"/>
      <c r="K222" s="62"/>
      <c r="L222" s="62"/>
    </row>
    <row r="223" spans="1:13">
      <c r="H223" s="63"/>
      <c r="I223" s="63"/>
      <c r="J223" s="63"/>
      <c r="K223" s="63"/>
      <c r="L223" s="63"/>
    </row>
    <row r="224" spans="1:13">
      <c r="H224" s="63"/>
      <c r="I224" s="63"/>
      <c r="J224" s="63"/>
      <c r="K224" s="63"/>
      <c r="L224" s="63"/>
    </row>
    <row r="225" spans="1:13">
      <c r="H225" s="63"/>
      <c r="I225" s="63"/>
      <c r="J225" s="63"/>
      <c r="K225" s="63"/>
      <c r="L225" s="63"/>
    </row>
    <row r="227" spans="1:13">
      <c r="H227" s="62"/>
      <c r="I227" s="62"/>
      <c r="J227" s="62"/>
      <c r="K227" s="62"/>
      <c r="L227" s="62"/>
    </row>
    <row r="228" spans="1:13">
      <c r="B228" s="61" t="s">
        <v>71</v>
      </c>
      <c r="C228" s="61"/>
      <c r="H228" s="62" t="str">
        <f>E166</f>
        <v>AKRAM ASSIDIK</v>
      </c>
      <c r="I228" s="62"/>
      <c r="J228" s="62"/>
      <c r="K228" s="62"/>
      <c r="L228" s="62"/>
    </row>
    <row r="229" ht="16.2" spans="1:13">
      <c r="A229" s="2"/>
      <c r="B229" s="5"/>
      <c r="C229" s="64"/>
      <c r="D229" s="64"/>
      <c r="E229" s="64"/>
      <c r="F229" s="2"/>
      <c r="G229" s="2"/>
      <c r="H229" s="2"/>
      <c r="I229" s="3"/>
      <c r="J229" s="3"/>
      <c r="K229" s="3"/>
      <c r="L229" s="3"/>
      <c r="M229" s="3"/>
    </row>
    <row r="230" ht="16.2" spans="1:13">
      <c r="A230" s="2"/>
      <c r="B230" s="5"/>
      <c r="C230" s="6"/>
      <c r="D230" s="3"/>
      <c r="E230" s="2"/>
      <c r="F230" s="2"/>
      <c r="G230" s="2"/>
      <c r="H230" s="2"/>
      <c r="I230" s="3"/>
      <c r="J230" s="3"/>
      <c r="K230" s="3"/>
      <c r="L230" s="3"/>
      <c r="M230" s="3"/>
    </row>
    <row r="231" ht="15.6" spans="1:13">
      <c r="A231" s="7"/>
      <c r="B231" s="8"/>
      <c r="C231" s="7"/>
      <c r="D231" s="9"/>
      <c r="E231" s="9"/>
      <c r="F231" s="10"/>
      <c r="G231" s="10"/>
      <c r="H231" s="9"/>
      <c r="I231" s="10"/>
      <c r="J231" s="10"/>
      <c r="K231" s="11"/>
      <c r="L231" s="7"/>
      <c r="M231" s="3"/>
    </row>
    <row r="232" ht="15.6" spans="1:13">
      <c r="A232" s="12"/>
      <c r="B232" s="13"/>
      <c r="C232" s="7"/>
      <c r="D232" s="9"/>
      <c r="E232" s="9"/>
      <c r="F232" s="10"/>
      <c r="G232" s="10"/>
      <c r="H232" s="9"/>
      <c r="I232" s="10"/>
      <c r="J232" s="10"/>
      <c r="K232" s="7"/>
      <c r="L232" s="73" t="s">
        <v>0</v>
      </c>
      <c r="M232" s="3"/>
    </row>
    <row r="233" ht="16.2" spans="1:13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</row>
    <row r="234" ht="15.6" spans="1:13">
      <c r="A234" s="14" t="s">
        <v>1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6" ht="15" spans="1:13">
      <c r="C236" s="1" t="s">
        <v>2</v>
      </c>
      <c r="D236" t="s">
        <v>3</v>
      </c>
      <c r="E236" s="15"/>
    </row>
    <row r="237" spans="1:13">
      <c r="C237" s="1" t="s">
        <v>4</v>
      </c>
      <c r="D237" t="s">
        <v>3</v>
      </c>
      <c r="E237" s="65">
        <v>46282</v>
      </c>
      <c r="F237" s="17" t="s">
        <v>5</v>
      </c>
      <c r="G237" s="66">
        <v>46283</v>
      </c>
      <c r="H237" s="66"/>
      <c r="I237" s="66"/>
    </row>
    <row r="238" ht="15" spans="1:13">
      <c r="C238" s="1" t="s">
        <v>6</v>
      </c>
      <c r="D238" t="s">
        <v>3</v>
      </c>
      <c r="E238" s="15" t="s">
        <v>107</v>
      </c>
    </row>
    <row r="239" spans="1:13">
      <c r="C239" s="19" t="s">
        <v>8</v>
      </c>
      <c r="D239" t="s">
        <v>3</v>
      </c>
      <c r="E239" s="20" t="s">
        <v>108</v>
      </c>
      <c r="F239" s="20"/>
      <c r="G239" s="20"/>
      <c r="H239" s="20"/>
      <c r="I239" s="20"/>
      <c r="J239" s="20"/>
      <c r="K239" s="20"/>
      <c r="L239" s="20"/>
      <c r="M239" s="20"/>
    </row>
    <row r="240" spans="1:13">
      <c r="C240"/>
      <c r="E240" s="20"/>
      <c r="F240" s="20"/>
      <c r="G240" s="20"/>
      <c r="H240" s="20"/>
      <c r="I240" s="20"/>
      <c r="J240" s="20"/>
      <c r="K240" s="20"/>
      <c r="L240" s="20"/>
      <c r="M240" s="20"/>
    </row>
    <row r="241" spans="1:13">
      <c r="C241" s="1" t="s">
        <v>11</v>
      </c>
      <c r="D241" t="s">
        <v>3</v>
      </c>
      <c r="E241" s="21" t="s">
        <v>14</v>
      </c>
      <c r="F241" s="16"/>
      <c r="G241" s="17"/>
      <c r="H241" s="18"/>
      <c r="I241" s="18"/>
    </row>
    <row r="242" ht="15.6" spans="1:13">
      <c r="C242" s="1" t="s">
        <v>16</v>
      </c>
      <c r="D242" t="s">
        <v>3</v>
      </c>
      <c r="E242" s="22" t="s">
        <v>104</v>
      </c>
      <c r="F242" s="22"/>
      <c r="G242" s="22"/>
      <c r="H242" s="22"/>
      <c r="I242" s="22"/>
    </row>
    <row r="243" ht="15.6" spans="1:13">
      <c r="C243" s="1" t="s">
        <v>18</v>
      </c>
      <c r="D243" t="s">
        <v>3</v>
      </c>
      <c r="E243" s="23" t="s">
        <v>19</v>
      </c>
      <c r="F243" s="24"/>
    </row>
    <row r="244" spans="1:13">
      <c r="E244" s="24"/>
    </row>
    <row r="245" spans="1:13">
      <c r="A245" s="25" t="s">
        <v>20</v>
      </c>
      <c r="B245" s="26" t="s">
        <v>21</v>
      </c>
      <c r="C245" s="27"/>
      <c r="D245" s="27"/>
      <c r="E245" s="27"/>
      <c r="F245" s="27"/>
      <c r="G245" s="27"/>
      <c r="H245" s="27"/>
      <c r="I245" s="27"/>
      <c r="J245" s="28"/>
      <c r="K245" s="26" t="s">
        <v>22</v>
      </c>
      <c r="L245" s="28"/>
      <c r="M245" s="29" t="s">
        <v>23</v>
      </c>
    </row>
    <row r="246" spans="1:13">
      <c r="A246" s="30"/>
      <c r="K246" s="31"/>
      <c r="L246" s="32"/>
      <c r="M246" s="30"/>
    </row>
    <row r="247" spans="1:13">
      <c r="A247" s="33" t="s">
        <v>24</v>
      </c>
      <c r="B247" t="s">
        <v>25</v>
      </c>
      <c r="K247" s="31"/>
      <c r="L247" s="32"/>
      <c r="M247" s="30"/>
    </row>
    <row r="248" spans="1:13">
      <c r="A248" s="33"/>
      <c r="K248" s="31"/>
      <c r="L248" s="32"/>
      <c r="M248" s="30"/>
    </row>
    <row r="249" spans="1:13">
      <c r="A249" s="33"/>
      <c r="B249" s="34">
        <v>1</v>
      </c>
      <c r="C249" s="34" t="s">
        <v>26</v>
      </c>
      <c r="K249" s="31"/>
      <c r="L249" s="32"/>
      <c r="M249" s="30"/>
    </row>
    <row r="250" spans="1:13">
      <c r="A250" s="33"/>
      <c r="B250" s="34"/>
      <c r="C250" s="1" t="s">
        <v>27</v>
      </c>
      <c r="G250">
        <v>0</v>
      </c>
      <c r="H250" s="1" t="s">
        <v>28</v>
      </c>
      <c r="I250" s="35">
        <v>0</v>
      </c>
      <c r="K250" s="31" t="s">
        <v>29</v>
      </c>
      <c r="L250" s="36">
        <f t="shared" ref="L250:L252" si="42">+I250*G250</f>
        <v>0</v>
      </c>
      <c r="M250" s="37"/>
    </row>
    <row r="251" spans="1:13">
      <c r="A251" s="33"/>
      <c r="B251" s="34"/>
      <c r="C251" s="1" t="s">
        <v>30</v>
      </c>
      <c r="G251">
        <v>0</v>
      </c>
      <c r="H251" t="s">
        <v>28</v>
      </c>
      <c r="I251" s="35">
        <v>0</v>
      </c>
      <c r="J251" s="38"/>
      <c r="K251" s="31" t="s">
        <v>29</v>
      </c>
      <c r="L251" s="36">
        <f t="shared" si="42"/>
        <v>0</v>
      </c>
      <c r="M251" s="39"/>
    </row>
    <row r="252" spans="1:13">
      <c r="A252" s="33"/>
      <c r="B252" s="34"/>
      <c r="C252" s="1" t="s">
        <v>31</v>
      </c>
      <c r="G252">
        <v>0</v>
      </c>
      <c r="H252" t="s">
        <v>28</v>
      </c>
      <c r="I252" s="35">
        <v>0</v>
      </c>
      <c r="K252" s="31" t="s">
        <v>29</v>
      </c>
      <c r="L252" s="36">
        <f t="shared" si="42"/>
        <v>0</v>
      </c>
      <c r="M252" s="37"/>
    </row>
    <row r="253" spans="1:13">
      <c r="A253" s="33"/>
      <c r="B253" s="34">
        <v>2</v>
      </c>
      <c r="C253" s="34" t="s">
        <v>32</v>
      </c>
      <c r="D253" s="34"/>
      <c r="K253" s="31"/>
      <c r="L253" s="40"/>
      <c r="M253" s="30"/>
    </row>
    <row r="254" spans="1:13">
      <c r="A254" s="33"/>
      <c r="B254" s="34"/>
      <c r="C254" s="1" t="s">
        <v>33</v>
      </c>
      <c r="D254" s="41"/>
      <c r="E254">
        <v>2</v>
      </c>
      <c r="F254" t="s">
        <v>34</v>
      </c>
      <c r="G254" s="38">
        <v>1</v>
      </c>
      <c r="H254" t="s">
        <v>28</v>
      </c>
      <c r="I254" s="42">
        <v>190000</v>
      </c>
      <c r="K254" s="31" t="s">
        <v>29</v>
      </c>
      <c r="L254" s="43">
        <f t="shared" ref="L254:L256" si="43">I254*G254*E254</f>
        <v>380000</v>
      </c>
      <c r="M254" s="37"/>
    </row>
    <row r="255" spans="1:13">
      <c r="A255" s="33"/>
      <c r="B255" s="34"/>
      <c r="C255" s="1" t="s">
        <v>35</v>
      </c>
      <c r="D255" s="41"/>
      <c r="E255">
        <v>1</v>
      </c>
      <c r="F255" t="s">
        <v>34</v>
      </c>
      <c r="G255" s="38">
        <v>1</v>
      </c>
      <c r="H255" t="str">
        <f t="shared" ref="H255:H259" si="44">+H254</f>
        <v>x Rp.</v>
      </c>
      <c r="I255" s="42">
        <v>50000</v>
      </c>
      <c r="K255" s="31" t="str">
        <f t="shared" ref="K255:K259" si="45">+K254</f>
        <v>Rp.</v>
      </c>
      <c r="L255" s="43">
        <f t="shared" si="43"/>
        <v>50000</v>
      </c>
      <c r="M255" s="37"/>
    </row>
    <row r="256" spans="1:13">
      <c r="A256" s="33"/>
      <c r="B256" s="34"/>
      <c r="C256" s="1" t="s">
        <v>36</v>
      </c>
      <c r="D256" s="41"/>
      <c r="E256">
        <v>0</v>
      </c>
      <c r="F256" t="s">
        <v>34</v>
      </c>
      <c r="G256" s="38">
        <v>1</v>
      </c>
      <c r="H256" t="str">
        <f t="shared" si="44"/>
        <v>x Rp.</v>
      </c>
      <c r="I256" s="42">
        <v>250000</v>
      </c>
      <c r="K256" s="31" t="str">
        <f t="shared" si="45"/>
        <v>Rp.</v>
      </c>
      <c r="L256" s="43">
        <f t="shared" si="43"/>
        <v>0</v>
      </c>
      <c r="M256" s="44"/>
    </row>
    <row r="257" spans="1:13">
      <c r="A257" s="33"/>
      <c r="B257" s="34">
        <v>3</v>
      </c>
      <c r="C257" s="34" t="s">
        <v>37</v>
      </c>
      <c r="D257" s="41"/>
      <c r="G257" s="38" t="s">
        <v>38</v>
      </c>
      <c r="I257" s="42"/>
      <c r="J257" s="1" t="s">
        <v>10</v>
      </c>
      <c r="K257" s="31"/>
      <c r="L257" s="40"/>
      <c r="M257" s="37"/>
    </row>
    <row r="258" spans="1:13">
      <c r="A258" s="33"/>
      <c r="B258" s="34"/>
      <c r="C258" s="1" t="s">
        <v>33</v>
      </c>
      <c r="D258" s="41"/>
      <c r="E258">
        <v>0</v>
      </c>
      <c r="F258" t="s">
        <v>34</v>
      </c>
      <c r="G258" s="38">
        <v>1</v>
      </c>
      <c r="H258" t="str">
        <f>+H256</f>
        <v>x Rp.</v>
      </c>
      <c r="I258" s="42">
        <v>0</v>
      </c>
      <c r="K258" s="31" t="s">
        <v>29</v>
      </c>
      <c r="L258" s="40">
        <f t="shared" ref="L258:L260" si="46">+E258*G258*I258</f>
        <v>0</v>
      </c>
      <c r="M258" s="39"/>
    </row>
    <row r="259" spans="1:13">
      <c r="A259" s="33"/>
      <c r="B259" s="34"/>
      <c r="C259" s="1" t="s">
        <v>35</v>
      </c>
      <c r="D259" s="41"/>
      <c r="E259">
        <v>0</v>
      </c>
      <c r="F259" t="s">
        <v>34</v>
      </c>
      <c r="G259" s="38">
        <v>1</v>
      </c>
      <c r="H259" t="str">
        <f t="shared" si="44"/>
        <v>x Rp.</v>
      </c>
      <c r="I259" s="42">
        <v>0</v>
      </c>
      <c r="K259" s="31" t="str">
        <f t="shared" si="45"/>
        <v>Rp.</v>
      </c>
      <c r="L259" s="40">
        <f t="shared" si="46"/>
        <v>0</v>
      </c>
      <c r="M259" s="37"/>
    </row>
    <row r="260" spans="1:13">
      <c r="A260" s="33"/>
      <c r="B260" s="34"/>
      <c r="C260" s="1" t="s">
        <v>36</v>
      </c>
      <c r="D260" s="41"/>
      <c r="E260">
        <v>0</v>
      </c>
      <c r="F260" t="s">
        <v>34</v>
      </c>
      <c r="G260" s="38">
        <v>1</v>
      </c>
      <c r="H260" t="s">
        <v>28</v>
      </c>
      <c r="I260" s="42">
        <v>0</v>
      </c>
      <c r="K260" s="31" t="s">
        <v>29</v>
      </c>
      <c r="L260" s="40">
        <f t="shared" si="46"/>
        <v>0</v>
      </c>
      <c r="M260" s="30"/>
    </row>
    <row r="261" spans="1:13">
      <c r="A261" s="33"/>
      <c r="B261" s="34">
        <v>4</v>
      </c>
      <c r="C261" s="34" t="s">
        <v>39</v>
      </c>
      <c r="D261" s="41"/>
      <c r="G261" s="38" t="s">
        <v>38</v>
      </c>
      <c r="I261" s="42"/>
      <c r="J261" s="1" t="s">
        <v>10</v>
      </c>
      <c r="K261" s="31"/>
      <c r="L261" s="40"/>
      <c r="M261" s="37"/>
    </row>
    <row r="262" spans="1:13">
      <c r="A262" s="33"/>
      <c r="B262" s="34"/>
      <c r="C262" s="1" t="s">
        <v>40</v>
      </c>
      <c r="D262" s="41"/>
      <c r="E262">
        <v>0</v>
      </c>
      <c r="F262" t="s">
        <v>34</v>
      </c>
      <c r="G262" s="38">
        <v>1</v>
      </c>
      <c r="H262" t="str">
        <f>+H263</f>
        <v>x Rp.</v>
      </c>
      <c r="I262" s="42">
        <v>0</v>
      </c>
      <c r="K262" s="31" t="str">
        <f>+K260</f>
        <v>Rp.</v>
      </c>
      <c r="L262" s="40">
        <f t="shared" ref="L262:L264" si="47">+E262*G262*I262</f>
        <v>0</v>
      </c>
      <c r="M262" s="45"/>
    </row>
    <row r="263" spans="1:13">
      <c r="A263" s="33"/>
      <c r="B263" s="34"/>
      <c r="C263" s="1" t="s">
        <v>41</v>
      </c>
      <c r="D263" s="41"/>
      <c r="E263">
        <v>0</v>
      </c>
      <c r="F263" t="s">
        <v>34</v>
      </c>
      <c r="G263" s="38">
        <v>1</v>
      </c>
      <c r="H263" t="str">
        <f>+H260</f>
        <v>x Rp.</v>
      </c>
      <c r="I263" s="42">
        <v>0</v>
      </c>
      <c r="K263" s="31" t="str">
        <f t="shared" ref="K263:K268" si="48">+K262</f>
        <v>Rp.</v>
      </c>
      <c r="L263" s="40">
        <f t="shared" si="47"/>
        <v>0</v>
      </c>
      <c r="M263" s="39"/>
    </row>
    <row r="264" spans="1:13">
      <c r="A264" s="33"/>
      <c r="B264" s="34"/>
      <c r="C264" s="1" t="s">
        <v>42</v>
      </c>
      <c r="D264" s="41"/>
      <c r="E264">
        <v>0</v>
      </c>
      <c r="F264" t="s">
        <v>34</v>
      </c>
      <c r="G264" s="38">
        <v>1</v>
      </c>
      <c r="H264" t="str">
        <f>+H263</f>
        <v>x Rp.</v>
      </c>
      <c r="I264" s="42">
        <v>0</v>
      </c>
      <c r="K264" s="31" t="str">
        <f t="shared" si="48"/>
        <v>Rp.</v>
      </c>
      <c r="L264" s="40">
        <f t="shared" si="47"/>
        <v>0</v>
      </c>
      <c r="M264" s="37"/>
    </row>
    <row r="265" spans="1:13">
      <c r="A265" s="33"/>
      <c r="B265" s="34">
        <v>5</v>
      </c>
      <c r="C265" s="34" t="s">
        <v>43</v>
      </c>
      <c r="D265" s="41"/>
      <c r="G265" s="38" t="s">
        <v>38</v>
      </c>
      <c r="I265" s="42"/>
      <c r="J265" s="1" t="s">
        <v>10</v>
      </c>
      <c r="K265" s="31"/>
      <c r="L265" s="40"/>
      <c r="M265" s="37"/>
    </row>
    <row r="266" spans="1:13">
      <c r="A266" s="33"/>
      <c r="B266" s="34"/>
      <c r="C266" s="1" t="s">
        <v>44</v>
      </c>
      <c r="D266" s="41"/>
      <c r="E266">
        <v>0</v>
      </c>
      <c r="F266" t="str">
        <f>+F267</f>
        <v>hari x</v>
      </c>
      <c r="G266" s="38">
        <v>1</v>
      </c>
      <c r="H266" t="str">
        <f>+H267</f>
        <v>x Rp.</v>
      </c>
      <c r="I266" s="42">
        <v>0</v>
      </c>
      <c r="K266" s="31" t="str">
        <f>+K264</f>
        <v>Rp.</v>
      </c>
      <c r="L266" s="40">
        <f t="shared" ref="L266:L268" si="49">+E266*G266*I266</f>
        <v>0</v>
      </c>
      <c r="M266" s="45"/>
    </row>
    <row r="267" spans="1:13">
      <c r="A267" s="33"/>
      <c r="B267" s="34"/>
      <c r="C267" s="1" t="s">
        <v>45</v>
      </c>
      <c r="D267" s="41"/>
      <c r="E267">
        <v>0</v>
      </c>
      <c r="F267" t="str">
        <f>+F264</f>
        <v>hari x</v>
      </c>
      <c r="G267" s="38">
        <v>1</v>
      </c>
      <c r="H267" t="str">
        <f>+H264</f>
        <v>x Rp.</v>
      </c>
      <c r="I267" s="42">
        <v>0</v>
      </c>
      <c r="K267" s="31" t="str">
        <f t="shared" si="48"/>
        <v>Rp.</v>
      </c>
      <c r="L267" s="40">
        <f t="shared" si="49"/>
        <v>0</v>
      </c>
      <c r="M267" s="39"/>
    </row>
    <row r="268" spans="1:13">
      <c r="A268" s="33"/>
      <c r="B268" s="34">
        <v>6</v>
      </c>
      <c r="C268" s="34" t="s">
        <v>46</v>
      </c>
      <c r="D268" s="41"/>
      <c r="E268">
        <v>0</v>
      </c>
      <c r="F268" t="s">
        <v>47</v>
      </c>
      <c r="G268" s="38">
        <v>1</v>
      </c>
      <c r="H268" t="str">
        <f>+H266</f>
        <v>x Rp.</v>
      </c>
      <c r="I268" s="42">
        <v>0</v>
      </c>
      <c r="K268" s="31" t="str">
        <f t="shared" si="48"/>
        <v>Rp.</v>
      </c>
      <c r="L268" s="40">
        <f t="shared" si="49"/>
        <v>0</v>
      </c>
      <c r="M268" s="37"/>
    </row>
    <row r="269" spans="1:13">
      <c r="A269" s="33"/>
      <c r="B269" s="34"/>
      <c r="D269" s="41"/>
      <c r="G269" s="38"/>
      <c r="I269" s="42"/>
      <c r="K269" s="31"/>
      <c r="L269" s="40"/>
      <c r="M269" s="30"/>
    </row>
    <row r="270" spans="1:13">
      <c r="A270" s="33"/>
      <c r="C270" s="1" t="s">
        <v>10</v>
      </c>
      <c r="D270" t="s">
        <v>10</v>
      </c>
      <c r="K270" s="31"/>
      <c r="L270" s="40"/>
      <c r="M270" s="30"/>
    </row>
    <row r="271" spans="1:13">
      <c r="A271" s="33"/>
      <c r="B271" s="34" t="s">
        <v>48</v>
      </c>
      <c r="E271" t="s">
        <v>10</v>
      </c>
      <c r="K271" s="31" t="s">
        <v>29</v>
      </c>
      <c r="L271" s="46">
        <f>SUM(L250:L268)</f>
        <v>430000</v>
      </c>
      <c r="M271" s="30"/>
    </row>
    <row r="272" spans="1:13">
      <c r="A272" s="33"/>
      <c r="D272" t="s">
        <v>10</v>
      </c>
      <c r="E272" t="s">
        <v>10</v>
      </c>
      <c r="J272" t="s">
        <v>10</v>
      </c>
      <c r="K272" s="31" t="s">
        <v>10</v>
      </c>
      <c r="L272" s="40"/>
      <c r="M272" s="30"/>
    </row>
    <row r="273" spans="1:13">
      <c r="A273" s="33" t="s">
        <v>49</v>
      </c>
      <c r="B273" s="34" t="s">
        <v>50</v>
      </c>
      <c r="K273" s="31"/>
      <c r="L273" s="40"/>
      <c r="M273" s="30"/>
    </row>
    <row r="274" spans="1:13">
      <c r="A274" s="33"/>
      <c r="B274" s="34">
        <v>1</v>
      </c>
      <c r="C274" s="34" t="s">
        <v>51</v>
      </c>
      <c r="K274" s="31"/>
      <c r="L274" s="40"/>
      <c r="M274" s="30"/>
    </row>
    <row r="275" spans="1:13">
      <c r="A275" s="33"/>
      <c r="C275" s="1" t="s">
        <v>52</v>
      </c>
      <c r="K275" s="31" t="s">
        <v>29</v>
      </c>
      <c r="L275" s="40">
        <v>0</v>
      </c>
      <c r="M275" s="30"/>
    </row>
    <row r="276" spans="1:13">
      <c r="A276" s="33"/>
      <c r="C276" s="1" t="s">
        <v>53</v>
      </c>
      <c r="K276" s="31" t="s">
        <v>29</v>
      </c>
      <c r="L276" s="40">
        <v>0</v>
      </c>
      <c r="M276" s="30"/>
    </row>
    <row r="277" spans="1:13">
      <c r="A277" s="33"/>
      <c r="C277" s="1" t="s">
        <v>54</v>
      </c>
      <c r="K277" s="31" t="s">
        <v>29</v>
      </c>
      <c r="L277" s="40">
        <v>0</v>
      </c>
      <c r="M277" s="30"/>
    </row>
    <row r="278" spans="1:13">
      <c r="A278" s="33"/>
      <c r="K278" s="31" t="s">
        <v>29</v>
      </c>
      <c r="L278" s="40">
        <v>0</v>
      </c>
      <c r="M278" s="30"/>
    </row>
    <row r="279" spans="1:13">
      <c r="A279" s="33"/>
      <c r="B279" s="34">
        <v>2</v>
      </c>
      <c r="C279" s="34" t="s">
        <v>55</v>
      </c>
      <c r="K279" s="31"/>
      <c r="L279" s="40"/>
      <c r="M279" s="30"/>
    </row>
    <row r="280" spans="1:13">
      <c r="A280" s="33"/>
      <c r="C280" s="1" t="s">
        <v>56</v>
      </c>
      <c r="D280" t="s">
        <v>57</v>
      </c>
      <c r="E280" t="s">
        <v>58</v>
      </c>
      <c r="F280" t="s">
        <v>34</v>
      </c>
      <c r="H280" t="s">
        <v>59</v>
      </c>
      <c r="I280" t="s">
        <v>60</v>
      </c>
      <c r="K280" s="31" t="s">
        <v>29</v>
      </c>
      <c r="L280" s="40">
        <v>0</v>
      </c>
      <c r="M280" s="30"/>
    </row>
    <row r="281" spans="1:13">
      <c r="A281" s="33"/>
      <c r="C281" s="1" t="s">
        <v>61</v>
      </c>
      <c r="K281" s="31"/>
      <c r="L281" s="40"/>
      <c r="M281" s="30"/>
    </row>
    <row r="282" spans="1:13">
      <c r="A282" s="33"/>
      <c r="B282" s="34">
        <v>3</v>
      </c>
      <c r="C282" s="1" t="s">
        <v>62</v>
      </c>
      <c r="K282" s="31"/>
      <c r="L282" s="40"/>
      <c r="M282" s="30"/>
    </row>
    <row r="283" spans="1:13">
      <c r="A283" s="33"/>
      <c r="B283" s="34"/>
      <c r="C283" s="1" t="s">
        <v>40</v>
      </c>
      <c r="E283">
        <v>0</v>
      </c>
      <c r="F283" t="str">
        <f>+F266</f>
        <v>hari x</v>
      </c>
      <c r="G283" s="38">
        <v>1</v>
      </c>
      <c r="H283">
        <f>+H284</f>
        <v>0</v>
      </c>
      <c r="I283" s="42">
        <v>0</v>
      </c>
      <c r="K283" s="31" t="str">
        <f>+K280</f>
        <v>Rp.</v>
      </c>
      <c r="L283" s="40">
        <f t="shared" ref="L283:L285" si="50">+E283*G283*I283</f>
        <v>0</v>
      </c>
      <c r="M283" s="30"/>
    </row>
    <row r="284" spans="1:13">
      <c r="A284" s="33"/>
      <c r="B284" s="34"/>
      <c r="C284" s="1" t="s">
        <v>41</v>
      </c>
      <c r="E284">
        <v>0</v>
      </c>
      <c r="F284" t="str">
        <f>+F283</f>
        <v>hari x</v>
      </c>
      <c r="G284" s="38">
        <v>1</v>
      </c>
      <c r="H284">
        <f>+H281</f>
        <v>0</v>
      </c>
      <c r="I284" s="42">
        <v>0</v>
      </c>
      <c r="K284" s="31" t="str">
        <f>+K283</f>
        <v>Rp.</v>
      </c>
      <c r="L284" s="40">
        <f t="shared" si="50"/>
        <v>0</v>
      </c>
      <c r="M284" s="30"/>
    </row>
    <row r="285" spans="1:13">
      <c r="A285" s="33"/>
      <c r="B285" s="34"/>
      <c r="C285" s="1" t="s">
        <v>42</v>
      </c>
      <c r="E285">
        <v>0</v>
      </c>
      <c r="F285" t="str">
        <f t="shared" ref="F285:K285" si="51">+F284</f>
        <v>hari x</v>
      </c>
      <c r="G285" s="38">
        <v>0.5</v>
      </c>
      <c r="H285">
        <f t="shared" si="51"/>
        <v>0</v>
      </c>
      <c r="I285" s="42">
        <v>0</v>
      </c>
      <c r="K285" s="31" t="str">
        <f t="shared" si="51"/>
        <v>Rp.</v>
      </c>
      <c r="L285" s="40">
        <f t="shared" si="50"/>
        <v>0</v>
      </c>
      <c r="M285" s="30"/>
    </row>
    <row r="286" spans="1:13">
      <c r="A286" s="33"/>
      <c r="B286">
        <v>4</v>
      </c>
      <c r="C286" s="1" t="s">
        <v>63</v>
      </c>
      <c r="G286" s="41"/>
      <c r="I286" s="1" t="s">
        <v>10</v>
      </c>
      <c r="K286" s="31"/>
      <c r="L286" s="40"/>
      <c r="M286" s="30"/>
    </row>
    <row r="287" spans="1:13">
      <c r="A287" s="33"/>
      <c r="K287" s="31"/>
      <c r="L287" s="40"/>
      <c r="M287" s="30"/>
    </row>
    <row r="288" spans="1:13">
      <c r="A288" s="33"/>
      <c r="B288" s="34" t="s">
        <v>64</v>
      </c>
      <c r="C288" s="34"/>
      <c r="K288" s="31" t="s">
        <v>29</v>
      </c>
      <c r="L288" s="46">
        <f>SUM(L275:L287)</f>
        <v>0</v>
      </c>
      <c r="M288" s="30"/>
    </row>
    <row r="289" spans="1:13">
      <c r="A289" s="33"/>
      <c r="K289" s="31"/>
      <c r="L289" s="40"/>
      <c r="M289" s="30"/>
    </row>
    <row r="290" ht="15.15" spans="1:13">
      <c r="A290" s="33" t="s">
        <v>65</v>
      </c>
      <c r="B290" s="34" t="s">
        <v>66</v>
      </c>
      <c r="C290" s="34"/>
      <c r="K290" s="31" t="s">
        <v>29</v>
      </c>
      <c r="L290" s="46">
        <f>L288+L271</f>
        <v>430000</v>
      </c>
      <c r="M290" s="47"/>
    </row>
    <row r="291" spans="1:13">
      <c r="A291" s="30"/>
      <c r="G291" t="s">
        <v>10</v>
      </c>
      <c r="K291" s="48"/>
      <c r="L291" s="49"/>
      <c r="M291" s="47"/>
    </row>
    <row r="292" spans="1:13">
      <c r="A292" s="50"/>
      <c r="B292" s="51"/>
      <c r="C292" s="52"/>
      <c r="D292" s="52"/>
      <c r="E292" s="52"/>
      <c r="F292" s="53"/>
      <c r="G292" s="53"/>
      <c r="H292" s="53"/>
      <c r="I292" s="53"/>
      <c r="J292" s="54"/>
      <c r="K292" s="55"/>
      <c r="L292" s="54"/>
      <c r="M292" s="56"/>
    </row>
    <row r="293" spans="1:13">
      <c r="B293" t="s">
        <v>10</v>
      </c>
      <c r="K293" s="57"/>
      <c r="L293" s="57"/>
      <c r="M293" s="57"/>
    </row>
    <row r="294" spans="1:13">
      <c r="A294" t="s">
        <v>67</v>
      </c>
      <c r="H294" t="s">
        <v>68</v>
      </c>
    </row>
    <row r="295" spans="1:13">
      <c r="B295">
        <v>1</v>
      </c>
      <c r="C295" s="34" t="s">
        <v>29</v>
      </c>
      <c r="D295" s="34"/>
      <c r="E295" s="58">
        <f>+L290</f>
        <v>430000</v>
      </c>
      <c r="H295">
        <v>1</v>
      </c>
      <c r="I295" s="34" t="s">
        <v>29</v>
      </c>
      <c r="L295" s="59">
        <f>+L290</f>
        <v>430000</v>
      </c>
    </row>
    <row r="296" spans="1:13">
      <c r="A296" s="60"/>
      <c r="C296" s="34"/>
      <c r="I296" s="34"/>
    </row>
    <row r="297" spans="1:13">
      <c r="G297" t="s">
        <v>10</v>
      </c>
    </row>
    <row r="298" spans="1:13">
      <c r="B298" s="61" t="s">
        <v>69</v>
      </c>
      <c r="C298" s="61"/>
      <c r="H298" s="62" t="s">
        <v>70</v>
      </c>
      <c r="I298" s="62"/>
      <c r="J298" s="62"/>
      <c r="K298" s="62"/>
      <c r="L298" s="62"/>
    </row>
    <row r="299" spans="1:13">
      <c r="H299" s="63"/>
      <c r="I299" s="63"/>
      <c r="J299" s="63"/>
      <c r="K299" s="63"/>
      <c r="L299" s="63"/>
    </row>
    <row r="300" spans="1:13">
      <c r="H300" s="63"/>
      <c r="I300" s="63"/>
      <c r="J300" s="63"/>
      <c r="K300" s="63"/>
      <c r="L300" s="63"/>
    </row>
    <row r="301" spans="1:13">
      <c r="H301" s="63"/>
      <c r="I301" s="63"/>
      <c r="J301" s="63"/>
      <c r="K301" s="63"/>
      <c r="L301" s="63"/>
    </row>
    <row r="303" spans="1:13">
      <c r="H303" s="62"/>
      <c r="I303" s="62"/>
      <c r="J303" s="62"/>
      <c r="K303" s="62"/>
      <c r="L303" s="62"/>
    </row>
    <row r="304" spans="1:13">
      <c r="B304" s="61" t="s">
        <v>71</v>
      </c>
      <c r="C304" s="61"/>
      <c r="H304" s="62" t="str">
        <f>E242</f>
        <v>AKRAM ASSIDIK</v>
      </c>
      <c r="I304" s="62"/>
      <c r="J304" s="62"/>
      <c r="K304" s="62"/>
      <c r="L304" s="62"/>
    </row>
    <row r="305" ht="16.2" spans="1:13">
      <c r="A305" s="2"/>
      <c r="B305" s="5"/>
      <c r="C305" s="64"/>
      <c r="D305" s="64"/>
      <c r="E305" s="64"/>
      <c r="F305" s="2"/>
      <c r="G305" s="2"/>
      <c r="H305" s="2"/>
      <c r="I305" s="3"/>
      <c r="J305" s="3"/>
      <c r="K305" s="3"/>
      <c r="L305" s="3"/>
      <c r="M305" s="3"/>
    </row>
    <row r="306" ht="16.2" spans="1:13">
      <c r="A306" s="2"/>
      <c r="B306" s="5"/>
      <c r="C306" s="6"/>
      <c r="D306" s="3"/>
      <c r="E306" s="2"/>
      <c r="F306" s="2"/>
      <c r="G306" s="2"/>
      <c r="H306" s="2"/>
      <c r="I306" s="3"/>
      <c r="J306" s="3"/>
      <c r="K306" s="3"/>
      <c r="L306" s="3"/>
      <c r="M306" s="3"/>
    </row>
    <row r="307" ht="15.6" spans="1:13">
      <c r="A307" s="7"/>
      <c r="B307" s="8"/>
      <c r="C307" s="7"/>
      <c r="D307" s="9"/>
      <c r="E307" s="9"/>
      <c r="F307" s="10"/>
      <c r="G307" s="10"/>
      <c r="H307" s="9"/>
      <c r="I307" s="10"/>
      <c r="J307" s="10"/>
      <c r="K307" s="11"/>
      <c r="L307" s="7"/>
      <c r="M307" s="3"/>
    </row>
    <row r="308" ht="15.6" spans="1:13">
      <c r="A308" s="12"/>
      <c r="B308" s="13"/>
      <c r="C308" s="7"/>
      <c r="D308" s="9"/>
      <c r="E308" s="9"/>
      <c r="F308" s="10"/>
      <c r="G308" s="10"/>
      <c r="H308" s="9"/>
      <c r="I308" s="10"/>
      <c r="J308" s="10"/>
      <c r="K308" s="7"/>
      <c r="L308" s="73" t="s">
        <v>0</v>
      </c>
      <c r="M308" s="3"/>
    </row>
    <row r="309" ht="16.2" spans="1:13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3"/>
      <c r="L309" s="3"/>
      <c r="M309" s="3"/>
    </row>
    <row r="310" ht="15.6" spans="1:13">
      <c r="A310" s="14" t="s">
        <v>1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2" ht="15" spans="1:13">
      <c r="C312" s="1" t="s">
        <v>2</v>
      </c>
      <c r="D312" t="s">
        <v>3</v>
      </c>
      <c r="E312" s="15"/>
    </row>
    <row r="313" spans="1:13">
      <c r="C313" s="1" t="s">
        <v>4</v>
      </c>
      <c r="D313" t="s">
        <v>3</v>
      </c>
      <c r="E313" s="65">
        <v>46293</v>
      </c>
      <c r="F313" s="17" t="s">
        <v>5</v>
      </c>
      <c r="G313" s="66">
        <v>46293</v>
      </c>
      <c r="H313" s="66"/>
      <c r="I313" s="66"/>
    </row>
    <row r="314" ht="15" spans="1:13">
      <c r="C314" s="1" t="s">
        <v>6</v>
      </c>
      <c r="D314" t="s">
        <v>3</v>
      </c>
      <c r="E314" s="15" t="s">
        <v>107</v>
      </c>
    </row>
    <row r="315" spans="1:13">
      <c r="C315" s="19" t="s">
        <v>8</v>
      </c>
      <c r="D315" t="s">
        <v>3</v>
      </c>
      <c r="E315" s="20" t="s">
        <v>109</v>
      </c>
      <c r="F315" s="20"/>
      <c r="G315" s="20"/>
      <c r="H315" s="20"/>
      <c r="I315" s="20"/>
      <c r="J315" s="20"/>
      <c r="K315" s="20"/>
      <c r="L315" s="20"/>
      <c r="M315" s="20"/>
    </row>
    <row r="316" spans="1:13">
      <c r="C316"/>
      <c r="E316" s="20"/>
      <c r="F316" s="20"/>
      <c r="G316" s="20"/>
      <c r="H316" s="20"/>
      <c r="I316" s="20"/>
      <c r="J316" s="20"/>
      <c r="K316" s="20"/>
      <c r="L316" s="20"/>
      <c r="M316" s="20"/>
    </row>
    <row r="317" spans="1:13">
      <c r="C317" s="1" t="s">
        <v>11</v>
      </c>
      <c r="D317" t="s">
        <v>3</v>
      </c>
      <c r="E317" s="21" t="s">
        <v>13</v>
      </c>
      <c r="F317" s="16"/>
      <c r="G317" s="17"/>
      <c r="H317" s="18"/>
      <c r="I317" s="18"/>
    </row>
    <row r="318" ht="15.6" spans="1:13">
      <c r="C318" s="1" t="s">
        <v>16</v>
      </c>
      <c r="D318" t="s">
        <v>3</v>
      </c>
      <c r="E318" s="22" t="s">
        <v>104</v>
      </c>
      <c r="F318" s="22"/>
      <c r="G318" s="22"/>
      <c r="H318" s="22"/>
      <c r="I318" s="22"/>
    </row>
    <row r="319" ht="15.6" spans="1:13">
      <c r="C319" s="1" t="s">
        <v>18</v>
      </c>
      <c r="D319" t="s">
        <v>3</v>
      </c>
      <c r="E319" s="23" t="s">
        <v>19</v>
      </c>
      <c r="F319" s="24"/>
    </row>
    <row r="320" spans="1:13">
      <c r="E320" s="24"/>
    </row>
    <row r="321" spans="1:13">
      <c r="A321" s="25" t="s">
        <v>20</v>
      </c>
      <c r="B321" s="26" t="s">
        <v>21</v>
      </c>
      <c r="C321" s="27"/>
      <c r="D321" s="27"/>
      <c r="E321" s="27"/>
      <c r="F321" s="27"/>
      <c r="G321" s="27"/>
      <c r="H321" s="27"/>
      <c r="I321" s="27"/>
      <c r="J321" s="28"/>
      <c r="K321" s="26" t="s">
        <v>22</v>
      </c>
      <c r="L321" s="28"/>
      <c r="M321" s="29" t="s">
        <v>23</v>
      </c>
    </row>
    <row r="322" spans="1:13">
      <c r="A322" s="30"/>
      <c r="K322" s="31"/>
      <c r="L322" s="32"/>
      <c r="M322" s="30"/>
    </row>
    <row r="323" spans="1:13">
      <c r="A323" s="33" t="s">
        <v>24</v>
      </c>
      <c r="B323" t="s">
        <v>25</v>
      </c>
      <c r="K323" s="31"/>
      <c r="L323" s="32"/>
      <c r="M323" s="30"/>
    </row>
    <row r="324" spans="1:13">
      <c r="A324" s="33"/>
      <c r="K324" s="31"/>
      <c r="L324" s="32"/>
      <c r="M324" s="30"/>
    </row>
    <row r="325" spans="1:13">
      <c r="A325" s="33"/>
      <c r="B325" s="34">
        <v>1</v>
      </c>
      <c r="C325" s="34" t="s">
        <v>26</v>
      </c>
      <c r="K325" s="31"/>
      <c r="L325" s="32"/>
      <c r="M325" s="30"/>
    </row>
    <row r="326" spans="1:13">
      <c r="A326" s="33"/>
      <c r="B326" s="34"/>
      <c r="C326" s="1" t="s">
        <v>27</v>
      </c>
      <c r="G326">
        <v>0</v>
      </c>
      <c r="H326" s="1" t="s">
        <v>28</v>
      </c>
      <c r="I326" s="35">
        <v>0</v>
      </c>
      <c r="K326" s="31" t="s">
        <v>29</v>
      </c>
      <c r="L326" s="36">
        <f t="shared" ref="L326:L328" si="52">+I326*G326</f>
        <v>0</v>
      </c>
      <c r="M326" s="37"/>
    </row>
    <row r="327" spans="1:13">
      <c r="A327" s="33"/>
      <c r="B327" s="34"/>
      <c r="C327" s="1" t="s">
        <v>30</v>
      </c>
      <c r="G327">
        <v>0</v>
      </c>
      <c r="H327" t="s">
        <v>28</v>
      </c>
      <c r="I327" s="35">
        <v>0</v>
      </c>
      <c r="J327" s="38"/>
      <c r="K327" s="31" t="s">
        <v>29</v>
      </c>
      <c r="L327" s="36">
        <f t="shared" si="52"/>
        <v>0</v>
      </c>
      <c r="M327" s="39"/>
    </row>
    <row r="328" spans="1:13">
      <c r="A328" s="33"/>
      <c r="B328" s="34"/>
      <c r="C328" s="1" t="s">
        <v>31</v>
      </c>
      <c r="G328">
        <v>0</v>
      </c>
      <c r="H328" t="s">
        <v>28</v>
      </c>
      <c r="I328" s="35">
        <v>0</v>
      </c>
      <c r="K328" s="31" t="s">
        <v>29</v>
      </c>
      <c r="L328" s="36">
        <f t="shared" si="52"/>
        <v>0</v>
      </c>
      <c r="M328" s="37"/>
    </row>
    <row r="329" spans="1:13">
      <c r="A329" s="33"/>
      <c r="B329" s="34">
        <v>2</v>
      </c>
      <c r="C329" s="34" t="s">
        <v>32</v>
      </c>
      <c r="D329" s="34"/>
      <c r="K329" s="31"/>
      <c r="L329" s="40"/>
      <c r="M329" s="30"/>
    </row>
    <row r="330" spans="1:13">
      <c r="A330" s="33"/>
      <c r="B330" s="34"/>
      <c r="C330" s="1" t="s">
        <v>33</v>
      </c>
      <c r="D330" s="41"/>
      <c r="E330">
        <v>1</v>
      </c>
      <c r="F330" t="s">
        <v>34</v>
      </c>
      <c r="G330" s="38">
        <v>1</v>
      </c>
      <c r="H330" t="s">
        <v>28</v>
      </c>
      <c r="I330" s="42">
        <v>190000</v>
      </c>
      <c r="K330" s="31" t="s">
        <v>29</v>
      </c>
      <c r="L330" s="43">
        <f t="shared" ref="L330:L332" si="53">I330*G330*E330</f>
        <v>190000</v>
      </c>
      <c r="M330" s="37"/>
    </row>
    <row r="331" spans="1:13">
      <c r="A331" s="33"/>
      <c r="B331" s="34"/>
      <c r="C331" s="1" t="s">
        <v>35</v>
      </c>
      <c r="D331" s="41"/>
      <c r="E331">
        <v>0</v>
      </c>
      <c r="F331" t="s">
        <v>34</v>
      </c>
      <c r="G331" s="38">
        <v>1</v>
      </c>
      <c r="H331" t="str">
        <f t="shared" ref="H331:H335" si="54">+H330</f>
        <v>x Rp.</v>
      </c>
      <c r="I331" s="42">
        <v>50000</v>
      </c>
      <c r="K331" s="31" t="str">
        <f t="shared" ref="K331:K335" si="55">+K330</f>
        <v>Rp.</v>
      </c>
      <c r="L331" s="43">
        <f t="shared" si="53"/>
        <v>0</v>
      </c>
      <c r="M331" s="37"/>
    </row>
    <row r="332" spans="1:13">
      <c r="A332" s="33"/>
      <c r="B332" s="34"/>
      <c r="C332" s="1" t="s">
        <v>36</v>
      </c>
      <c r="D332" s="41"/>
      <c r="E332">
        <v>0</v>
      </c>
      <c r="F332" t="s">
        <v>34</v>
      </c>
      <c r="G332" s="38">
        <v>1</v>
      </c>
      <c r="H332" t="str">
        <f t="shared" si="54"/>
        <v>x Rp.</v>
      </c>
      <c r="I332" s="42">
        <v>250000</v>
      </c>
      <c r="K332" s="31" t="str">
        <f t="shared" si="55"/>
        <v>Rp.</v>
      </c>
      <c r="L332" s="43">
        <f t="shared" si="53"/>
        <v>0</v>
      </c>
      <c r="M332" s="44"/>
    </row>
    <row r="333" spans="1:13">
      <c r="A333" s="33"/>
      <c r="B333" s="34">
        <v>3</v>
      </c>
      <c r="C333" s="34" t="s">
        <v>37</v>
      </c>
      <c r="D333" s="41"/>
      <c r="G333" s="38" t="s">
        <v>38</v>
      </c>
      <c r="I333" s="42"/>
      <c r="J333" s="1" t="s">
        <v>10</v>
      </c>
      <c r="K333" s="31"/>
      <c r="L333" s="40"/>
      <c r="M333" s="37"/>
    </row>
    <row r="334" spans="1:13">
      <c r="A334" s="33"/>
      <c r="B334" s="34"/>
      <c r="C334" s="1" t="s">
        <v>33</v>
      </c>
      <c r="D334" s="41"/>
      <c r="E334">
        <v>0</v>
      </c>
      <c r="F334" t="s">
        <v>34</v>
      </c>
      <c r="G334" s="38">
        <v>1</v>
      </c>
      <c r="H334" t="str">
        <f>+H332</f>
        <v>x Rp.</v>
      </c>
      <c r="I334" s="42">
        <v>0</v>
      </c>
      <c r="K334" s="31" t="s">
        <v>29</v>
      </c>
      <c r="L334" s="40">
        <f t="shared" ref="L334:L336" si="56">+E334*G334*I334</f>
        <v>0</v>
      </c>
      <c r="M334" s="39"/>
    </row>
    <row r="335" spans="1:13">
      <c r="A335" s="33"/>
      <c r="B335" s="34"/>
      <c r="C335" s="1" t="s">
        <v>35</v>
      </c>
      <c r="D335" s="41"/>
      <c r="E335">
        <v>0</v>
      </c>
      <c r="F335" t="s">
        <v>34</v>
      </c>
      <c r="G335" s="38">
        <v>1</v>
      </c>
      <c r="H335" t="str">
        <f t="shared" si="54"/>
        <v>x Rp.</v>
      </c>
      <c r="I335" s="42">
        <v>0</v>
      </c>
      <c r="K335" s="31" t="str">
        <f t="shared" si="55"/>
        <v>Rp.</v>
      </c>
      <c r="L335" s="40">
        <f t="shared" si="56"/>
        <v>0</v>
      </c>
      <c r="M335" s="37"/>
    </row>
    <row r="336" spans="1:13">
      <c r="A336" s="33"/>
      <c r="B336" s="34"/>
      <c r="C336" s="1" t="s">
        <v>36</v>
      </c>
      <c r="D336" s="41"/>
      <c r="E336">
        <v>0</v>
      </c>
      <c r="F336" t="s">
        <v>34</v>
      </c>
      <c r="G336" s="38">
        <v>1</v>
      </c>
      <c r="H336" t="s">
        <v>28</v>
      </c>
      <c r="I336" s="42">
        <v>0</v>
      </c>
      <c r="K336" s="31" t="s">
        <v>29</v>
      </c>
      <c r="L336" s="40">
        <f t="shared" si="56"/>
        <v>0</v>
      </c>
      <c r="M336" s="30"/>
    </row>
    <row r="337" spans="1:13">
      <c r="A337" s="33"/>
      <c r="B337" s="34">
        <v>4</v>
      </c>
      <c r="C337" s="34" t="s">
        <v>39</v>
      </c>
      <c r="D337" s="41"/>
      <c r="G337" s="38" t="s">
        <v>38</v>
      </c>
      <c r="I337" s="42"/>
      <c r="J337" s="1" t="s">
        <v>10</v>
      </c>
      <c r="K337" s="31"/>
      <c r="L337" s="40"/>
      <c r="M337" s="37"/>
    </row>
    <row r="338" spans="1:13">
      <c r="A338" s="33"/>
      <c r="B338" s="34"/>
      <c r="C338" s="1" t="s">
        <v>40</v>
      </c>
      <c r="D338" s="41"/>
      <c r="E338">
        <v>0</v>
      </c>
      <c r="F338" t="s">
        <v>34</v>
      </c>
      <c r="G338" s="38">
        <v>1</v>
      </c>
      <c r="H338" t="str">
        <f>+H339</f>
        <v>x Rp.</v>
      </c>
      <c r="I338" s="42">
        <v>0</v>
      </c>
      <c r="K338" s="31" t="str">
        <f>+K336</f>
        <v>Rp.</v>
      </c>
      <c r="L338" s="40">
        <f t="shared" ref="L338:L340" si="57">+E338*G338*I338</f>
        <v>0</v>
      </c>
      <c r="M338" s="45"/>
    </row>
    <row r="339" spans="1:13">
      <c r="A339" s="33"/>
      <c r="B339" s="34"/>
      <c r="C339" s="1" t="s">
        <v>41</v>
      </c>
      <c r="D339" s="41"/>
      <c r="E339">
        <v>0</v>
      </c>
      <c r="F339" t="s">
        <v>34</v>
      </c>
      <c r="G339" s="38">
        <v>1</v>
      </c>
      <c r="H339" t="str">
        <f>+H336</f>
        <v>x Rp.</v>
      </c>
      <c r="I339" s="42">
        <v>0</v>
      </c>
      <c r="K339" s="31" t="str">
        <f t="shared" ref="K339:K344" si="58">+K338</f>
        <v>Rp.</v>
      </c>
      <c r="L339" s="40">
        <f t="shared" si="57"/>
        <v>0</v>
      </c>
      <c r="M339" s="39"/>
    </row>
    <row r="340" spans="1:13">
      <c r="A340" s="33"/>
      <c r="B340" s="34"/>
      <c r="C340" s="1" t="s">
        <v>42</v>
      </c>
      <c r="D340" s="41"/>
      <c r="E340">
        <v>0</v>
      </c>
      <c r="F340" t="s">
        <v>34</v>
      </c>
      <c r="G340" s="38">
        <v>1</v>
      </c>
      <c r="H340" t="str">
        <f>+H339</f>
        <v>x Rp.</v>
      </c>
      <c r="I340" s="42">
        <v>0</v>
      </c>
      <c r="K340" s="31" t="str">
        <f t="shared" si="58"/>
        <v>Rp.</v>
      </c>
      <c r="L340" s="40">
        <f t="shared" si="57"/>
        <v>0</v>
      </c>
      <c r="M340" s="37"/>
    </row>
    <row r="341" spans="1:13">
      <c r="A341" s="33"/>
      <c r="B341" s="34">
        <v>5</v>
      </c>
      <c r="C341" s="34" t="s">
        <v>43</v>
      </c>
      <c r="D341" s="41"/>
      <c r="G341" s="38" t="s">
        <v>38</v>
      </c>
      <c r="I341" s="42"/>
      <c r="J341" s="1" t="s">
        <v>10</v>
      </c>
      <c r="K341" s="31"/>
      <c r="L341" s="40"/>
      <c r="M341" s="37"/>
    </row>
    <row r="342" spans="1:13">
      <c r="A342" s="33"/>
      <c r="B342" s="34"/>
      <c r="C342" s="1" t="s">
        <v>44</v>
      </c>
      <c r="D342" s="41"/>
      <c r="E342">
        <v>0</v>
      </c>
      <c r="F342" t="str">
        <f>+F343</f>
        <v>hari x</v>
      </c>
      <c r="G342" s="38">
        <v>1</v>
      </c>
      <c r="H342" t="str">
        <f>+H343</f>
        <v>x Rp.</v>
      </c>
      <c r="I342" s="42">
        <v>0</v>
      </c>
      <c r="K342" s="31" t="str">
        <f>+K340</f>
        <v>Rp.</v>
      </c>
      <c r="L342" s="40">
        <f t="shared" ref="L342:L344" si="59">+E342*G342*I342</f>
        <v>0</v>
      </c>
      <c r="M342" s="45"/>
    </row>
    <row r="343" spans="1:13">
      <c r="A343" s="33"/>
      <c r="B343" s="34"/>
      <c r="C343" s="1" t="s">
        <v>45</v>
      </c>
      <c r="D343" s="41"/>
      <c r="E343">
        <v>0</v>
      </c>
      <c r="F343" t="str">
        <f>+F340</f>
        <v>hari x</v>
      </c>
      <c r="G343" s="38">
        <v>1</v>
      </c>
      <c r="H343" t="str">
        <f>+H340</f>
        <v>x Rp.</v>
      </c>
      <c r="I343" s="42">
        <v>0</v>
      </c>
      <c r="K343" s="31" t="str">
        <f t="shared" si="58"/>
        <v>Rp.</v>
      </c>
      <c r="L343" s="40">
        <f t="shared" si="59"/>
        <v>0</v>
      </c>
      <c r="M343" s="39"/>
    </row>
    <row r="344" spans="1:13">
      <c r="A344" s="33"/>
      <c r="B344" s="34">
        <v>6</v>
      </c>
      <c r="C344" s="34" t="s">
        <v>46</v>
      </c>
      <c r="D344" s="41"/>
      <c r="E344">
        <v>0</v>
      </c>
      <c r="F344" t="s">
        <v>47</v>
      </c>
      <c r="G344" s="38">
        <v>1</v>
      </c>
      <c r="H344" t="str">
        <f>+H342</f>
        <v>x Rp.</v>
      </c>
      <c r="I344" s="42">
        <v>0</v>
      </c>
      <c r="K344" s="31" t="str">
        <f t="shared" si="58"/>
        <v>Rp.</v>
      </c>
      <c r="L344" s="40">
        <f t="shared" si="59"/>
        <v>0</v>
      </c>
      <c r="M344" s="37"/>
    </row>
    <row r="345" spans="1:13">
      <c r="A345" s="33"/>
      <c r="B345" s="34"/>
      <c r="D345" s="41"/>
      <c r="G345" s="38"/>
      <c r="I345" s="42"/>
      <c r="K345" s="31"/>
      <c r="L345" s="40"/>
      <c r="M345" s="30"/>
    </row>
    <row r="346" spans="1:13">
      <c r="A346" s="33"/>
      <c r="C346" s="1" t="s">
        <v>10</v>
      </c>
      <c r="D346" t="s">
        <v>10</v>
      </c>
      <c r="K346" s="31"/>
      <c r="L346" s="40"/>
      <c r="M346" s="30"/>
    </row>
    <row r="347" spans="1:13">
      <c r="A347" s="33"/>
      <c r="B347" s="34" t="s">
        <v>48</v>
      </c>
      <c r="E347" t="s">
        <v>10</v>
      </c>
      <c r="K347" s="31" t="s">
        <v>29</v>
      </c>
      <c r="L347" s="46">
        <f>SUM(L326:L344)</f>
        <v>190000</v>
      </c>
      <c r="M347" s="30"/>
    </row>
    <row r="348" spans="1:13">
      <c r="A348" s="33"/>
      <c r="D348" t="s">
        <v>10</v>
      </c>
      <c r="E348" t="s">
        <v>10</v>
      </c>
      <c r="J348" t="s">
        <v>10</v>
      </c>
      <c r="K348" s="31" t="s">
        <v>10</v>
      </c>
      <c r="L348" s="40"/>
      <c r="M348" s="30"/>
    </row>
    <row r="349" spans="1:13">
      <c r="A349" s="33" t="s">
        <v>49</v>
      </c>
      <c r="B349" s="34" t="s">
        <v>50</v>
      </c>
      <c r="K349" s="31"/>
      <c r="L349" s="40"/>
      <c r="M349" s="30"/>
    </row>
    <row r="350" spans="1:13">
      <c r="A350" s="33"/>
      <c r="B350" s="34">
        <v>1</v>
      </c>
      <c r="C350" s="34" t="s">
        <v>51</v>
      </c>
      <c r="K350" s="31"/>
      <c r="L350" s="40"/>
      <c r="M350" s="30"/>
    </row>
    <row r="351" spans="1:13">
      <c r="A351" s="33"/>
      <c r="C351" s="1" t="s">
        <v>52</v>
      </c>
      <c r="K351" s="31" t="s">
        <v>29</v>
      </c>
      <c r="L351" s="40">
        <v>0</v>
      </c>
      <c r="M351" s="30"/>
    </row>
    <row r="352" spans="1:13">
      <c r="A352" s="33"/>
      <c r="C352" s="1" t="s">
        <v>53</v>
      </c>
      <c r="K352" s="31" t="s">
        <v>29</v>
      </c>
      <c r="L352" s="40">
        <v>0</v>
      </c>
      <c r="M352" s="30"/>
    </row>
    <row r="353" spans="1:13">
      <c r="A353" s="33"/>
      <c r="C353" s="1" t="s">
        <v>54</v>
      </c>
      <c r="K353" s="31" t="s">
        <v>29</v>
      </c>
      <c r="L353" s="40">
        <v>0</v>
      </c>
      <c r="M353" s="30"/>
    </row>
    <row r="354" spans="1:13">
      <c r="A354" s="33"/>
      <c r="K354" s="31" t="s">
        <v>29</v>
      </c>
      <c r="L354" s="40">
        <v>0</v>
      </c>
      <c r="M354" s="30"/>
    </row>
    <row r="355" spans="1:13">
      <c r="A355" s="33"/>
      <c r="B355" s="34">
        <v>2</v>
      </c>
      <c r="C355" s="34" t="s">
        <v>55</v>
      </c>
      <c r="K355" s="31"/>
      <c r="L355" s="40"/>
      <c r="M355" s="30"/>
    </row>
    <row r="356" spans="1:13">
      <c r="A356" s="33"/>
      <c r="C356" s="1" t="s">
        <v>56</v>
      </c>
      <c r="D356" t="s">
        <v>57</v>
      </c>
      <c r="E356" t="s">
        <v>58</v>
      </c>
      <c r="F356" t="s">
        <v>34</v>
      </c>
      <c r="H356" t="s">
        <v>59</v>
      </c>
      <c r="I356" t="s">
        <v>60</v>
      </c>
      <c r="K356" s="31" t="s">
        <v>29</v>
      </c>
      <c r="L356" s="40">
        <v>0</v>
      </c>
      <c r="M356" s="30"/>
    </row>
    <row r="357" spans="1:13">
      <c r="A357" s="33"/>
      <c r="C357" s="1" t="s">
        <v>61</v>
      </c>
      <c r="K357" s="31"/>
      <c r="L357" s="40"/>
      <c r="M357" s="30"/>
    </row>
    <row r="358" spans="1:13">
      <c r="A358" s="33"/>
      <c r="B358" s="34">
        <v>3</v>
      </c>
      <c r="C358" s="1" t="s">
        <v>62</v>
      </c>
      <c r="K358" s="31"/>
      <c r="L358" s="40"/>
      <c r="M358" s="30"/>
    </row>
    <row r="359" spans="1:13">
      <c r="A359" s="33"/>
      <c r="B359" s="34"/>
      <c r="C359" s="1" t="s">
        <v>40</v>
      </c>
      <c r="E359">
        <v>0</v>
      </c>
      <c r="F359" t="str">
        <f>+F342</f>
        <v>hari x</v>
      </c>
      <c r="G359" s="38">
        <v>1</v>
      </c>
      <c r="H359">
        <f>+H360</f>
        <v>0</v>
      </c>
      <c r="I359" s="42">
        <v>0</v>
      </c>
      <c r="K359" s="31" t="str">
        <f>+K356</f>
        <v>Rp.</v>
      </c>
      <c r="L359" s="40">
        <f t="shared" ref="L359:L361" si="60">+E359*G359*I359</f>
        <v>0</v>
      </c>
      <c r="M359" s="30"/>
    </row>
    <row r="360" spans="1:13">
      <c r="A360" s="33"/>
      <c r="B360" s="34"/>
      <c r="C360" s="1" t="s">
        <v>41</v>
      </c>
      <c r="E360">
        <v>0</v>
      </c>
      <c r="F360" t="str">
        <f>+F359</f>
        <v>hari x</v>
      </c>
      <c r="G360" s="38">
        <v>1</v>
      </c>
      <c r="H360">
        <f>+H357</f>
        <v>0</v>
      </c>
      <c r="I360" s="42">
        <v>0</v>
      </c>
      <c r="K360" s="31" t="str">
        <f>+K359</f>
        <v>Rp.</v>
      </c>
      <c r="L360" s="40">
        <f t="shared" si="60"/>
        <v>0</v>
      </c>
      <c r="M360" s="30"/>
    </row>
    <row r="361" spans="1:13">
      <c r="A361" s="33"/>
      <c r="B361" s="34"/>
      <c r="C361" s="1" t="s">
        <v>42</v>
      </c>
      <c r="E361">
        <v>0</v>
      </c>
      <c r="F361" t="str">
        <f t="shared" ref="F361:K361" si="61">+F360</f>
        <v>hari x</v>
      </c>
      <c r="G361" s="38">
        <v>0.5</v>
      </c>
      <c r="H361">
        <f t="shared" si="61"/>
        <v>0</v>
      </c>
      <c r="I361" s="42">
        <v>0</v>
      </c>
      <c r="K361" s="31" t="str">
        <f t="shared" si="61"/>
        <v>Rp.</v>
      </c>
      <c r="L361" s="40">
        <f t="shared" si="60"/>
        <v>0</v>
      </c>
      <c r="M361" s="30"/>
    </row>
    <row r="362" spans="1:13">
      <c r="A362" s="33"/>
      <c r="B362">
        <v>4</v>
      </c>
      <c r="C362" s="1" t="s">
        <v>63</v>
      </c>
      <c r="G362" s="41"/>
      <c r="I362" s="1" t="s">
        <v>10</v>
      </c>
      <c r="K362" s="31"/>
      <c r="L362" s="40"/>
      <c r="M362" s="30"/>
    </row>
    <row r="363" spans="1:13">
      <c r="A363" s="33"/>
      <c r="K363" s="31"/>
      <c r="L363" s="40"/>
      <c r="M363" s="30"/>
    </row>
    <row r="364" spans="1:13">
      <c r="A364" s="33"/>
      <c r="B364" s="34" t="s">
        <v>64</v>
      </c>
      <c r="C364" s="34"/>
      <c r="K364" s="31" t="s">
        <v>29</v>
      </c>
      <c r="L364" s="46">
        <f>SUM(L351:L363)</f>
        <v>0</v>
      </c>
      <c r="M364" s="30"/>
    </row>
    <row r="365" spans="1:13">
      <c r="A365" s="33"/>
      <c r="K365" s="31"/>
      <c r="L365" s="40"/>
      <c r="M365" s="30"/>
    </row>
    <row r="366" ht="15.15" spans="1:13">
      <c r="A366" s="33" t="s">
        <v>65</v>
      </c>
      <c r="B366" s="34" t="s">
        <v>66</v>
      </c>
      <c r="C366" s="34"/>
      <c r="K366" s="31" t="s">
        <v>29</v>
      </c>
      <c r="L366" s="46">
        <f>L364+L347</f>
        <v>190000</v>
      </c>
      <c r="M366" s="47"/>
    </row>
    <row r="367" spans="1:13">
      <c r="A367" s="30"/>
      <c r="G367" t="s">
        <v>10</v>
      </c>
      <c r="K367" s="48"/>
      <c r="L367" s="49"/>
      <c r="M367" s="47"/>
    </row>
    <row r="368" spans="1:13">
      <c r="A368" s="50"/>
      <c r="B368" s="51"/>
      <c r="C368" s="52"/>
      <c r="D368" s="52"/>
      <c r="E368" s="52"/>
      <c r="F368" s="53"/>
      <c r="G368" s="53"/>
      <c r="H368" s="53"/>
      <c r="I368" s="53"/>
      <c r="J368" s="54"/>
      <c r="K368" s="55"/>
      <c r="L368" s="54"/>
      <c r="M368" s="56"/>
    </row>
    <row r="369" spans="1:13">
      <c r="B369" t="s">
        <v>10</v>
      </c>
      <c r="K369" s="57"/>
      <c r="L369" s="57"/>
      <c r="M369" s="57"/>
    </row>
    <row r="370" spans="1:13">
      <c r="A370" t="s">
        <v>67</v>
      </c>
      <c r="H370" t="s">
        <v>68</v>
      </c>
    </row>
    <row r="371" spans="1:13">
      <c r="B371">
        <v>1</v>
      </c>
      <c r="C371" s="34" t="s">
        <v>29</v>
      </c>
      <c r="D371" s="34"/>
      <c r="E371" s="58">
        <f>+L366</f>
        <v>190000</v>
      </c>
      <c r="H371">
        <v>1</v>
      </c>
      <c r="I371" s="34" t="s">
        <v>29</v>
      </c>
      <c r="L371" s="59">
        <f>+L366</f>
        <v>190000</v>
      </c>
    </row>
    <row r="372" spans="1:13">
      <c r="A372" s="60"/>
      <c r="C372" s="34"/>
      <c r="I372" s="34"/>
    </row>
    <row r="373" spans="1:13">
      <c r="G373" t="s">
        <v>10</v>
      </c>
    </row>
    <row r="374" spans="1:13">
      <c r="B374" s="61" t="s">
        <v>69</v>
      </c>
      <c r="C374" s="61"/>
      <c r="H374" s="62" t="s">
        <v>70</v>
      </c>
      <c r="I374" s="62"/>
      <c r="J374" s="62"/>
      <c r="K374" s="62"/>
      <c r="L374" s="62"/>
    </row>
    <row r="375" spans="1:13">
      <c r="H375" s="63"/>
      <c r="I375" s="63"/>
      <c r="J375" s="63"/>
      <c r="K375" s="63"/>
      <c r="L375" s="63"/>
    </row>
    <row r="376" spans="1:13">
      <c r="H376" s="63"/>
      <c r="I376" s="63"/>
      <c r="J376" s="63"/>
      <c r="K376" s="63"/>
      <c r="L376" s="63"/>
    </row>
    <row r="377" spans="1:13">
      <c r="H377" s="63"/>
      <c r="I377" s="63"/>
      <c r="J377" s="63"/>
      <c r="K377" s="63"/>
      <c r="L377" s="63"/>
    </row>
    <row r="379" spans="1:13">
      <c r="H379" s="62"/>
      <c r="I379" s="62"/>
      <c r="J379" s="62"/>
      <c r="K379" s="62"/>
      <c r="L379" s="62"/>
    </row>
    <row r="380" spans="1:13">
      <c r="B380" s="61" t="s">
        <v>71</v>
      </c>
      <c r="C380" s="61"/>
      <c r="H380" s="62" t="str">
        <f>E318</f>
        <v>AKRAM ASSIDIK</v>
      </c>
      <c r="I380" s="62"/>
      <c r="J380" s="62"/>
      <c r="K380" s="62"/>
      <c r="L380" s="62"/>
    </row>
    <row r="382" ht="16.2" spans="1:13">
      <c r="A382" s="2"/>
      <c r="B382" s="5"/>
      <c r="C382" s="64"/>
      <c r="D382" s="64"/>
      <c r="E382" s="64"/>
      <c r="F382" s="2"/>
      <c r="G382" s="2"/>
      <c r="H382" s="2"/>
      <c r="I382" s="3"/>
      <c r="J382" s="3"/>
      <c r="K382" s="3"/>
      <c r="L382" s="3"/>
      <c r="M382" s="3"/>
    </row>
    <row r="383" ht="16.2" spans="1:13">
      <c r="A383" s="2"/>
      <c r="B383" s="5"/>
      <c r="C383" s="6"/>
      <c r="D383" s="3"/>
      <c r="E383" s="2"/>
      <c r="F383" s="2"/>
      <c r="G383" s="2"/>
      <c r="H383" s="2"/>
      <c r="I383" s="3"/>
      <c r="J383" s="3"/>
      <c r="K383" s="3"/>
      <c r="L383" s="3"/>
      <c r="M383" s="3"/>
    </row>
    <row r="384" ht="15.6" spans="1:13">
      <c r="A384" s="7"/>
      <c r="B384" s="8"/>
      <c r="C384" s="7"/>
      <c r="D384" s="9"/>
      <c r="E384" s="9"/>
      <c r="F384" s="10"/>
      <c r="G384" s="10"/>
      <c r="H384" s="9"/>
      <c r="I384" s="10"/>
      <c r="J384" s="10"/>
      <c r="K384" s="11"/>
      <c r="L384" s="7"/>
      <c r="M384" s="3"/>
    </row>
    <row r="385" ht="15.6" spans="1:13">
      <c r="A385" s="12"/>
      <c r="B385" s="13"/>
      <c r="C385" s="7"/>
      <c r="D385" s="9"/>
      <c r="E385" s="9"/>
      <c r="F385" s="10"/>
      <c r="G385" s="10"/>
      <c r="H385" s="9"/>
      <c r="I385" s="10"/>
      <c r="J385" s="10"/>
      <c r="K385" s="7"/>
      <c r="L385" s="73" t="s">
        <v>0</v>
      </c>
      <c r="M385" s="3"/>
    </row>
    <row r="386" ht="16.2" spans="1:13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3"/>
      <c r="L386" s="3"/>
      <c r="M386" s="3"/>
    </row>
    <row r="387" ht="15.6" spans="1:13">
      <c r="A387" s="14" t="s">
        <v>1</v>
      </c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</row>
    <row r="389" ht="15" spans="1:13">
      <c r="C389" s="1" t="s">
        <v>2</v>
      </c>
      <c r="D389" t="s">
        <v>3</v>
      </c>
      <c r="E389" s="15"/>
    </row>
    <row r="390" spans="1:13">
      <c r="C390" s="1" t="s">
        <v>4</v>
      </c>
      <c r="D390" t="s">
        <v>3</v>
      </c>
      <c r="E390" s="65">
        <v>46258</v>
      </c>
      <c r="F390" s="17" t="s">
        <v>5</v>
      </c>
      <c r="G390" s="66">
        <v>46258</v>
      </c>
      <c r="H390" s="66"/>
      <c r="I390" s="66"/>
    </row>
    <row r="391" ht="15" spans="1:13">
      <c r="C391" s="1" t="s">
        <v>6</v>
      </c>
      <c r="D391" t="s">
        <v>3</v>
      </c>
      <c r="E391" s="15" t="s">
        <v>110</v>
      </c>
    </row>
    <row r="392" spans="1:13">
      <c r="C392" s="19" t="s">
        <v>8</v>
      </c>
      <c r="D392" t="s">
        <v>3</v>
      </c>
      <c r="E392" s="20" t="s">
        <v>111</v>
      </c>
      <c r="F392" s="20"/>
      <c r="G392" s="20"/>
      <c r="H392" s="20"/>
      <c r="I392" s="20"/>
      <c r="J392" s="20"/>
      <c r="K392" s="20"/>
      <c r="L392" s="20"/>
      <c r="M392" s="20"/>
    </row>
    <row r="393" spans="1:13">
      <c r="C393"/>
      <c r="E393" s="20"/>
      <c r="F393" s="20"/>
      <c r="G393" s="20"/>
      <c r="H393" s="20"/>
      <c r="I393" s="20"/>
      <c r="J393" s="20"/>
      <c r="K393" s="20"/>
      <c r="L393" s="20"/>
      <c r="M393" s="20"/>
    </row>
    <row r="394" spans="1:13">
      <c r="C394" s="1" t="s">
        <v>11</v>
      </c>
      <c r="D394" t="s">
        <v>3</v>
      </c>
      <c r="E394" s="21" t="s">
        <v>13</v>
      </c>
      <c r="F394" s="16"/>
      <c r="G394" s="17"/>
      <c r="H394" s="18"/>
      <c r="I394" s="18"/>
    </row>
    <row r="395" ht="15.6" spans="1:13">
      <c r="C395" s="1" t="s">
        <v>16</v>
      </c>
      <c r="D395" t="s">
        <v>3</v>
      </c>
      <c r="E395" s="22" t="s">
        <v>104</v>
      </c>
      <c r="F395" s="22"/>
      <c r="G395" s="22"/>
      <c r="H395" s="22"/>
      <c r="I395" s="22"/>
    </row>
    <row r="396" ht="15.6" spans="1:13">
      <c r="C396" s="1" t="s">
        <v>18</v>
      </c>
      <c r="D396" t="s">
        <v>3</v>
      </c>
      <c r="E396" s="23" t="s">
        <v>19</v>
      </c>
      <c r="F396" s="24"/>
    </row>
    <row r="397" spans="1:13">
      <c r="E397" s="24"/>
    </row>
    <row r="398" spans="1:13">
      <c r="A398" s="25" t="s">
        <v>20</v>
      </c>
      <c r="B398" s="26" t="s">
        <v>21</v>
      </c>
      <c r="C398" s="27"/>
      <c r="D398" s="27"/>
      <c r="E398" s="27"/>
      <c r="F398" s="27"/>
      <c r="G398" s="27"/>
      <c r="H398" s="27"/>
      <c r="I398" s="27"/>
      <c r="J398" s="28"/>
      <c r="K398" s="26" t="s">
        <v>22</v>
      </c>
      <c r="L398" s="28"/>
      <c r="M398" s="29" t="s">
        <v>23</v>
      </c>
    </row>
    <row r="399" spans="1:13">
      <c r="A399" s="30"/>
      <c r="K399" s="31"/>
      <c r="L399" s="32"/>
      <c r="M399" s="30"/>
    </row>
    <row r="400" spans="1:13">
      <c r="A400" s="33" t="s">
        <v>24</v>
      </c>
      <c r="B400" t="s">
        <v>25</v>
      </c>
      <c r="K400" s="31"/>
      <c r="L400" s="32"/>
      <c r="M400" s="30"/>
    </row>
    <row r="401" spans="1:13">
      <c r="A401" s="33"/>
      <c r="K401" s="31"/>
      <c r="L401" s="32"/>
      <c r="M401" s="30"/>
    </row>
    <row r="402" spans="1:13">
      <c r="A402" s="33"/>
      <c r="B402" s="34">
        <v>1</v>
      </c>
      <c r="C402" s="34" t="s">
        <v>26</v>
      </c>
      <c r="K402" s="31"/>
      <c r="L402" s="32"/>
      <c r="M402" s="30"/>
    </row>
    <row r="403" spans="1:13">
      <c r="A403" s="33"/>
      <c r="B403" s="34"/>
      <c r="C403" s="1" t="s">
        <v>27</v>
      </c>
      <c r="G403">
        <v>0</v>
      </c>
      <c r="H403" s="1" t="s">
        <v>28</v>
      </c>
      <c r="I403" s="35">
        <v>0</v>
      </c>
      <c r="K403" s="31" t="s">
        <v>29</v>
      </c>
      <c r="L403" s="36">
        <f t="shared" ref="L403:L405" si="62">+I403*G403</f>
        <v>0</v>
      </c>
      <c r="M403" s="37"/>
    </row>
    <row r="404" spans="1:13">
      <c r="A404" s="33"/>
      <c r="B404" s="34"/>
      <c r="C404" s="1" t="s">
        <v>30</v>
      </c>
      <c r="G404">
        <v>0</v>
      </c>
      <c r="H404" t="s">
        <v>28</v>
      </c>
      <c r="I404" s="35">
        <v>0</v>
      </c>
      <c r="J404" s="38"/>
      <c r="K404" s="31" t="s">
        <v>29</v>
      </c>
      <c r="L404" s="36">
        <f t="shared" si="62"/>
        <v>0</v>
      </c>
      <c r="M404" s="39"/>
    </row>
    <row r="405" spans="1:13">
      <c r="A405" s="33"/>
      <c r="B405" s="34"/>
      <c r="C405" s="1" t="s">
        <v>31</v>
      </c>
      <c r="G405">
        <v>0</v>
      </c>
      <c r="H405" t="s">
        <v>28</v>
      </c>
      <c r="I405" s="35">
        <v>0</v>
      </c>
      <c r="K405" s="31" t="s">
        <v>29</v>
      </c>
      <c r="L405" s="36">
        <f t="shared" si="62"/>
        <v>0</v>
      </c>
      <c r="M405" s="37"/>
    </row>
    <row r="406" spans="1:13">
      <c r="A406" s="33"/>
      <c r="B406" s="34">
        <v>2</v>
      </c>
      <c r="C406" s="34" t="s">
        <v>32</v>
      </c>
      <c r="D406" s="34"/>
      <c r="K406" s="31"/>
      <c r="L406" s="40"/>
      <c r="M406" s="30"/>
    </row>
    <row r="407" spans="1:13">
      <c r="A407" s="33"/>
      <c r="B407" s="34"/>
      <c r="C407" s="1" t="s">
        <v>33</v>
      </c>
      <c r="D407" s="41"/>
      <c r="E407">
        <v>1</v>
      </c>
      <c r="F407" t="s">
        <v>34</v>
      </c>
      <c r="G407" s="38">
        <v>1</v>
      </c>
      <c r="H407" t="s">
        <v>28</v>
      </c>
      <c r="I407" s="42">
        <v>190000</v>
      </c>
      <c r="K407" s="31" t="s">
        <v>29</v>
      </c>
      <c r="L407" s="43">
        <f t="shared" ref="L407:L409" si="63">I407*G407*E407</f>
        <v>190000</v>
      </c>
      <c r="M407" s="37"/>
    </row>
    <row r="408" spans="1:13">
      <c r="A408" s="33"/>
      <c r="B408" s="34"/>
      <c r="C408" s="1" t="s">
        <v>35</v>
      </c>
      <c r="D408" s="41"/>
      <c r="E408">
        <v>0</v>
      </c>
      <c r="F408" t="s">
        <v>34</v>
      </c>
      <c r="G408" s="38">
        <v>1</v>
      </c>
      <c r="H408" t="str">
        <f t="shared" ref="H408:H412" si="64">+H407</f>
        <v>x Rp.</v>
      </c>
      <c r="I408" s="42">
        <v>50000</v>
      </c>
      <c r="K408" s="31" t="str">
        <f t="shared" ref="K408:K412" si="65">+K407</f>
        <v>Rp.</v>
      </c>
      <c r="L408" s="43">
        <f t="shared" si="63"/>
        <v>0</v>
      </c>
      <c r="M408" s="37"/>
    </row>
    <row r="409" spans="1:13">
      <c r="A409" s="33"/>
      <c r="B409" s="34"/>
      <c r="C409" s="1" t="s">
        <v>36</v>
      </c>
      <c r="D409" s="41"/>
      <c r="E409">
        <v>0</v>
      </c>
      <c r="F409" t="s">
        <v>34</v>
      </c>
      <c r="G409" s="38">
        <v>1</v>
      </c>
      <c r="H409" t="str">
        <f t="shared" si="64"/>
        <v>x Rp.</v>
      </c>
      <c r="I409" s="42">
        <v>250000</v>
      </c>
      <c r="K409" s="31" t="str">
        <f t="shared" si="65"/>
        <v>Rp.</v>
      </c>
      <c r="L409" s="43">
        <f t="shared" si="63"/>
        <v>0</v>
      </c>
      <c r="M409" s="44"/>
    </row>
    <row r="410" spans="1:13">
      <c r="A410" s="33"/>
      <c r="B410" s="34">
        <v>3</v>
      </c>
      <c r="C410" s="34" t="s">
        <v>37</v>
      </c>
      <c r="D410" s="41"/>
      <c r="G410" s="38" t="s">
        <v>38</v>
      </c>
      <c r="I410" s="42"/>
      <c r="J410" s="1" t="s">
        <v>10</v>
      </c>
      <c r="K410" s="31"/>
      <c r="L410" s="40"/>
      <c r="M410" s="37"/>
    </row>
    <row r="411" spans="1:13">
      <c r="A411" s="33"/>
      <c r="B411" s="34"/>
      <c r="C411" s="1" t="s">
        <v>33</v>
      </c>
      <c r="D411" s="41"/>
      <c r="E411">
        <v>0</v>
      </c>
      <c r="F411" t="s">
        <v>34</v>
      </c>
      <c r="G411" s="38">
        <v>1</v>
      </c>
      <c r="H411" t="str">
        <f>+H409</f>
        <v>x Rp.</v>
      </c>
      <c r="I411" s="42">
        <v>0</v>
      </c>
      <c r="K411" s="31" t="s">
        <v>29</v>
      </c>
      <c r="L411" s="40">
        <f t="shared" ref="L411:L413" si="66">+E411*G411*I411</f>
        <v>0</v>
      </c>
      <c r="M411" s="39"/>
    </row>
    <row r="412" spans="1:13">
      <c r="A412" s="33"/>
      <c r="B412" s="34"/>
      <c r="C412" s="1" t="s">
        <v>35</v>
      </c>
      <c r="D412" s="41"/>
      <c r="E412">
        <v>0</v>
      </c>
      <c r="F412" t="s">
        <v>34</v>
      </c>
      <c r="G412" s="38">
        <v>1</v>
      </c>
      <c r="H412" t="str">
        <f t="shared" si="64"/>
        <v>x Rp.</v>
      </c>
      <c r="I412" s="42">
        <v>0</v>
      </c>
      <c r="K412" s="31" t="str">
        <f t="shared" si="65"/>
        <v>Rp.</v>
      </c>
      <c r="L412" s="40">
        <f t="shared" si="66"/>
        <v>0</v>
      </c>
      <c r="M412" s="37"/>
    </row>
    <row r="413" spans="1:13">
      <c r="A413" s="33"/>
      <c r="B413" s="34"/>
      <c r="C413" s="1" t="s">
        <v>36</v>
      </c>
      <c r="D413" s="41"/>
      <c r="E413">
        <v>0</v>
      </c>
      <c r="F413" t="s">
        <v>34</v>
      </c>
      <c r="G413" s="38">
        <v>1</v>
      </c>
      <c r="H413" t="s">
        <v>28</v>
      </c>
      <c r="I413" s="42">
        <v>0</v>
      </c>
      <c r="K413" s="31" t="s">
        <v>29</v>
      </c>
      <c r="L413" s="40">
        <f t="shared" si="66"/>
        <v>0</v>
      </c>
      <c r="M413" s="30"/>
    </row>
    <row r="414" spans="1:13">
      <c r="A414" s="33"/>
      <c r="B414" s="34">
        <v>4</v>
      </c>
      <c r="C414" s="34" t="s">
        <v>39</v>
      </c>
      <c r="D414" s="41"/>
      <c r="G414" s="38" t="s">
        <v>38</v>
      </c>
      <c r="I414" s="42"/>
      <c r="J414" s="1" t="s">
        <v>10</v>
      </c>
      <c r="K414" s="31"/>
      <c r="L414" s="40"/>
      <c r="M414" s="37"/>
    </row>
    <row r="415" spans="1:13">
      <c r="A415" s="33"/>
      <c r="B415" s="34"/>
      <c r="C415" s="1" t="s">
        <v>40</v>
      </c>
      <c r="D415" s="41"/>
      <c r="E415">
        <v>0</v>
      </c>
      <c r="F415" t="s">
        <v>34</v>
      </c>
      <c r="G415" s="38">
        <v>1</v>
      </c>
      <c r="H415" t="str">
        <f>+H416</f>
        <v>x Rp.</v>
      </c>
      <c r="I415" s="42">
        <v>0</v>
      </c>
      <c r="K415" s="31" t="str">
        <f>+K413</f>
        <v>Rp.</v>
      </c>
      <c r="L415" s="40">
        <f t="shared" ref="L415:L417" si="67">+E415*G415*I415</f>
        <v>0</v>
      </c>
      <c r="M415" s="45"/>
    </row>
    <row r="416" spans="1:13">
      <c r="A416" s="33"/>
      <c r="B416" s="34"/>
      <c r="C416" s="1" t="s">
        <v>41</v>
      </c>
      <c r="D416" s="41"/>
      <c r="E416">
        <v>0</v>
      </c>
      <c r="F416" t="s">
        <v>34</v>
      </c>
      <c r="G416" s="38">
        <v>1</v>
      </c>
      <c r="H416" t="str">
        <f>+H413</f>
        <v>x Rp.</v>
      </c>
      <c r="I416" s="42">
        <v>0</v>
      </c>
      <c r="K416" s="31" t="str">
        <f t="shared" ref="K416:K421" si="68">+K415</f>
        <v>Rp.</v>
      </c>
      <c r="L416" s="40">
        <f t="shared" si="67"/>
        <v>0</v>
      </c>
      <c r="M416" s="39"/>
    </row>
    <row r="417" spans="1:13">
      <c r="A417" s="33"/>
      <c r="B417" s="34"/>
      <c r="C417" s="1" t="s">
        <v>42</v>
      </c>
      <c r="D417" s="41"/>
      <c r="E417">
        <v>0</v>
      </c>
      <c r="F417" t="s">
        <v>34</v>
      </c>
      <c r="G417" s="38">
        <v>1</v>
      </c>
      <c r="H417" t="str">
        <f>+H416</f>
        <v>x Rp.</v>
      </c>
      <c r="I417" s="42">
        <v>0</v>
      </c>
      <c r="K417" s="31" t="str">
        <f t="shared" si="68"/>
        <v>Rp.</v>
      </c>
      <c r="L417" s="40">
        <f t="shared" si="67"/>
        <v>0</v>
      </c>
      <c r="M417" s="37"/>
    </row>
    <row r="418" spans="1:13">
      <c r="A418" s="33"/>
      <c r="B418" s="34">
        <v>5</v>
      </c>
      <c r="C418" s="34" t="s">
        <v>43</v>
      </c>
      <c r="D418" s="41"/>
      <c r="G418" s="38" t="s">
        <v>38</v>
      </c>
      <c r="I418" s="42"/>
      <c r="J418" s="1" t="s">
        <v>10</v>
      </c>
      <c r="K418" s="31"/>
      <c r="L418" s="40"/>
      <c r="M418" s="37"/>
    </row>
    <row r="419" spans="1:13">
      <c r="A419" s="33"/>
      <c r="B419" s="34"/>
      <c r="C419" s="1" t="s">
        <v>44</v>
      </c>
      <c r="D419" s="41"/>
      <c r="E419">
        <v>0</v>
      </c>
      <c r="F419" t="str">
        <f>+F420</f>
        <v>hari x</v>
      </c>
      <c r="G419" s="38">
        <v>1</v>
      </c>
      <c r="H419" t="str">
        <f>+H420</f>
        <v>x Rp.</v>
      </c>
      <c r="I419" s="42">
        <v>0</v>
      </c>
      <c r="K419" s="31" t="str">
        <f>+K417</f>
        <v>Rp.</v>
      </c>
      <c r="L419" s="40">
        <f t="shared" ref="L419:L421" si="69">+E419*G419*I419</f>
        <v>0</v>
      </c>
      <c r="M419" s="45"/>
    </row>
    <row r="420" spans="1:13">
      <c r="A420" s="33"/>
      <c r="B420" s="34"/>
      <c r="C420" s="1" t="s">
        <v>45</v>
      </c>
      <c r="D420" s="41"/>
      <c r="E420">
        <v>0</v>
      </c>
      <c r="F420" t="str">
        <f>+F417</f>
        <v>hari x</v>
      </c>
      <c r="G420" s="38">
        <v>1</v>
      </c>
      <c r="H420" t="str">
        <f>+H417</f>
        <v>x Rp.</v>
      </c>
      <c r="I420" s="42">
        <v>0</v>
      </c>
      <c r="K420" s="31" t="str">
        <f t="shared" si="68"/>
        <v>Rp.</v>
      </c>
      <c r="L420" s="40">
        <f t="shared" si="69"/>
        <v>0</v>
      </c>
      <c r="M420" s="39"/>
    </row>
    <row r="421" spans="1:13">
      <c r="A421" s="33"/>
      <c r="B421" s="34">
        <v>6</v>
      </c>
      <c r="C421" s="34" t="s">
        <v>46</v>
      </c>
      <c r="D421" s="41"/>
      <c r="E421">
        <v>0</v>
      </c>
      <c r="F421" t="s">
        <v>47</v>
      </c>
      <c r="G421" s="38">
        <v>1</v>
      </c>
      <c r="H421" t="str">
        <f>+H419</f>
        <v>x Rp.</v>
      </c>
      <c r="I421" s="42">
        <v>0</v>
      </c>
      <c r="K421" s="31" t="str">
        <f t="shared" si="68"/>
        <v>Rp.</v>
      </c>
      <c r="L421" s="40">
        <f t="shared" si="69"/>
        <v>0</v>
      </c>
      <c r="M421" s="37"/>
    </row>
    <row r="422" spans="1:13">
      <c r="A422" s="33"/>
      <c r="B422" s="34"/>
      <c r="D422" s="41"/>
      <c r="G422" s="38"/>
      <c r="I422" s="42"/>
      <c r="K422" s="31"/>
      <c r="L422" s="40"/>
      <c r="M422" s="30"/>
    </row>
    <row r="423" spans="1:13">
      <c r="A423" s="33"/>
      <c r="C423" s="1" t="s">
        <v>10</v>
      </c>
      <c r="D423" t="s">
        <v>10</v>
      </c>
      <c r="K423" s="31"/>
      <c r="L423" s="40"/>
      <c r="M423" s="30"/>
    </row>
    <row r="424" spans="1:13">
      <c r="A424" s="33"/>
      <c r="B424" s="34" t="s">
        <v>48</v>
      </c>
      <c r="E424" t="s">
        <v>10</v>
      </c>
      <c r="K424" s="31" t="s">
        <v>29</v>
      </c>
      <c r="L424" s="46">
        <f>SUM(L403:L421)</f>
        <v>190000</v>
      </c>
      <c r="M424" s="30"/>
    </row>
    <row r="425" spans="1:13">
      <c r="A425" s="33"/>
      <c r="D425" t="s">
        <v>10</v>
      </c>
      <c r="E425" t="s">
        <v>10</v>
      </c>
      <c r="J425" t="s">
        <v>10</v>
      </c>
      <c r="K425" s="31" t="s">
        <v>10</v>
      </c>
      <c r="L425" s="40"/>
      <c r="M425" s="30"/>
    </row>
    <row r="426" spans="1:13">
      <c r="A426" s="33" t="s">
        <v>49</v>
      </c>
      <c r="B426" s="34" t="s">
        <v>50</v>
      </c>
      <c r="K426" s="31"/>
      <c r="L426" s="40"/>
      <c r="M426" s="30"/>
    </row>
    <row r="427" spans="1:13">
      <c r="A427" s="33"/>
      <c r="B427" s="34">
        <v>1</v>
      </c>
      <c r="C427" s="34" t="s">
        <v>51</v>
      </c>
      <c r="K427" s="31"/>
      <c r="L427" s="40"/>
      <c r="M427" s="30"/>
    </row>
    <row r="428" spans="1:13">
      <c r="A428" s="33"/>
      <c r="C428" s="1" t="s">
        <v>52</v>
      </c>
      <c r="K428" s="31" t="s">
        <v>29</v>
      </c>
      <c r="L428" s="40">
        <v>0</v>
      </c>
      <c r="M428" s="30"/>
    </row>
    <row r="429" spans="1:13">
      <c r="A429" s="33"/>
      <c r="C429" s="1" t="s">
        <v>53</v>
      </c>
      <c r="K429" s="31" t="s">
        <v>29</v>
      </c>
      <c r="L429" s="40">
        <v>0</v>
      </c>
      <c r="M429" s="30"/>
    </row>
    <row r="430" spans="1:13">
      <c r="A430" s="33"/>
      <c r="C430" s="1" t="s">
        <v>54</v>
      </c>
      <c r="K430" s="31" t="s">
        <v>29</v>
      </c>
      <c r="L430" s="40">
        <v>0</v>
      </c>
      <c r="M430" s="30"/>
    </row>
    <row r="431" spans="1:13">
      <c r="A431" s="33"/>
      <c r="K431" s="31" t="s">
        <v>29</v>
      </c>
      <c r="L431" s="40">
        <v>0</v>
      </c>
      <c r="M431" s="30"/>
    </row>
    <row r="432" spans="1:13">
      <c r="A432" s="33"/>
      <c r="B432" s="34">
        <v>2</v>
      </c>
      <c r="C432" s="34" t="s">
        <v>55</v>
      </c>
      <c r="K432" s="31"/>
      <c r="L432" s="40"/>
      <c r="M432" s="30"/>
    </row>
    <row r="433" spans="1:13">
      <c r="A433" s="33"/>
      <c r="C433" s="1" t="s">
        <v>56</v>
      </c>
      <c r="D433" t="s">
        <v>57</v>
      </c>
      <c r="E433" t="s">
        <v>58</v>
      </c>
      <c r="F433" t="s">
        <v>34</v>
      </c>
      <c r="H433" t="s">
        <v>59</v>
      </c>
      <c r="I433" t="s">
        <v>60</v>
      </c>
      <c r="K433" s="31" t="s">
        <v>29</v>
      </c>
      <c r="L433" s="40">
        <v>0</v>
      </c>
      <c r="M433" s="30"/>
    </row>
    <row r="434" spans="1:13">
      <c r="A434" s="33"/>
      <c r="C434" s="1" t="s">
        <v>61</v>
      </c>
      <c r="K434" s="31"/>
      <c r="L434" s="40"/>
      <c r="M434" s="30"/>
    </row>
    <row r="435" spans="1:13">
      <c r="A435" s="33"/>
      <c r="B435" s="34">
        <v>3</v>
      </c>
      <c r="C435" s="1" t="s">
        <v>62</v>
      </c>
      <c r="K435" s="31"/>
      <c r="L435" s="40"/>
      <c r="M435" s="30"/>
    </row>
    <row r="436" spans="1:13">
      <c r="A436" s="33"/>
      <c r="B436" s="34"/>
      <c r="C436" s="1" t="s">
        <v>40</v>
      </c>
      <c r="E436">
        <v>0</v>
      </c>
      <c r="F436" t="str">
        <f>+F419</f>
        <v>hari x</v>
      </c>
      <c r="G436" s="38">
        <v>1</v>
      </c>
      <c r="H436">
        <f>+H437</f>
        <v>0</v>
      </c>
      <c r="I436" s="42">
        <v>0</v>
      </c>
      <c r="K436" s="31" t="str">
        <f>+K433</f>
        <v>Rp.</v>
      </c>
      <c r="L436" s="40">
        <f t="shared" ref="L436:L438" si="70">+E436*G436*I436</f>
        <v>0</v>
      </c>
      <c r="M436" s="30"/>
    </row>
    <row r="437" spans="1:13">
      <c r="A437" s="33"/>
      <c r="B437" s="34"/>
      <c r="C437" s="1" t="s">
        <v>41</v>
      </c>
      <c r="E437">
        <v>0</v>
      </c>
      <c r="F437" t="str">
        <f>+F436</f>
        <v>hari x</v>
      </c>
      <c r="G437" s="38">
        <v>1</v>
      </c>
      <c r="H437">
        <f>+H434</f>
        <v>0</v>
      </c>
      <c r="I437" s="42">
        <v>0</v>
      </c>
      <c r="K437" s="31" t="str">
        <f>+K436</f>
        <v>Rp.</v>
      </c>
      <c r="L437" s="40">
        <f t="shared" si="70"/>
        <v>0</v>
      </c>
      <c r="M437" s="30"/>
    </row>
    <row r="438" spans="1:13">
      <c r="A438" s="33"/>
      <c r="B438" s="34"/>
      <c r="C438" s="1" t="s">
        <v>42</v>
      </c>
      <c r="E438">
        <v>0</v>
      </c>
      <c r="F438" t="str">
        <f t="shared" ref="F438:K438" si="71">+F437</f>
        <v>hari x</v>
      </c>
      <c r="G438" s="38">
        <v>0.5</v>
      </c>
      <c r="H438">
        <f t="shared" si="71"/>
        <v>0</v>
      </c>
      <c r="I438" s="42">
        <v>0</v>
      </c>
      <c r="K438" s="31" t="str">
        <f t="shared" si="71"/>
        <v>Rp.</v>
      </c>
      <c r="L438" s="40">
        <f t="shared" si="70"/>
        <v>0</v>
      </c>
      <c r="M438" s="30"/>
    </row>
    <row r="439" spans="1:13">
      <c r="A439" s="33"/>
      <c r="B439">
        <v>4</v>
      </c>
      <c r="C439" s="1" t="s">
        <v>63</v>
      </c>
      <c r="G439" s="41"/>
      <c r="I439" s="1" t="s">
        <v>10</v>
      </c>
      <c r="K439" s="31"/>
      <c r="L439" s="40"/>
      <c r="M439" s="30"/>
    </row>
    <row r="440" spans="1:13">
      <c r="A440" s="33"/>
      <c r="K440" s="31"/>
      <c r="L440" s="40"/>
      <c r="M440" s="30"/>
    </row>
    <row r="441" spans="1:13">
      <c r="A441" s="33"/>
      <c r="B441" s="34" t="s">
        <v>64</v>
      </c>
      <c r="C441" s="34"/>
      <c r="K441" s="31" t="s">
        <v>29</v>
      </c>
      <c r="L441" s="46">
        <f>SUM(L428:L440)</f>
        <v>0</v>
      </c>
      <c r="M441" s="30"/>
    </row>
    <row r="442" spans="1:13">
      <c r="A442" s="33"/>
      <c r="K442" s="31"/>
      <c r="L442" s="40"/>
      <c r="M442" s="30"/>
    </row>
    <row r="443" ht="15.15" spans="1:13">
      <c r="A443" s="33" t="s">
        <v>65</v>
      </c>
      <c r="B443" s="34" t="s">
        <v>66</v>
      </c>
      <c r="C443" s="34"/>
      <c r="K443" s="31" t="s">
        <v>29</v>
      </c>
      <c r="L443" s="46">
        <f>L441+L424</f>
        <v>190000</v>
      </c>
      <c r="M443" s="47"/>
    </row>
    <row r="444" spans="1:13">
      <c r="A444" s="30"/>
      <c r="G444" t="s">
        <v>10</v>
      </c>
      <c r="K444" s="48"/>
      <c r="L444" s="49"/>
      <c r="M444" s="47"/>
    </row>
    <row r="445" spans="1:13">
      <c r="A445" s="50"/>
      <c r="B445" s="51"/>
      <c r="C445" s="52"/>
      <c r="D445" s="52"/>
      <c r="E445" s="52"/>
      <c r="F445" s="53"/>
      <c r="G445" s="53"/>
      <c r="H445" s="53"/>
      <c r="I445" s="53"/>
      <c r="J445" s="54"/>
      <c r="K445" s="55"/>
      <c r="L445" s="54"/>
      <c r="M445" s="56"/>
    </row>
    <row r="446" spans="1:13">
      <c r="B446" t="s">
        <v>10</v>
      </c>
      <c r="K446" s="57"/>
      <c r="L446" s="57"/>
      <c r="M446" s="57"/>
    </row>
    <row r="447" spans="1:13">
      <c r="A447" t="s">
        <v>67</v>
      </c>
      <c r="H447" t="s">
        <v>68</v>
      </c>
    </row>
    <row r="448" spans="1:13">
      <c r="B448">
        <v>1</v>
      </c>
      <c r="C448" s="34" t="s">
        <v>29</v>
      </c>
      <c r="D448" s="34"/>
      <c r="E448" s="58">
        <f>+L443</f>
        <v>190000</v>
      </c>
      <c r="H448">
        <v>1</v>
      </c>
      <c r="I448" s="34" t="s">
        <v>29</v>
      </c>
      <c r="L448" s="59">
        <f>+L443</f>
        <v>190000</v>
      </c>
    </row>
    <row r="449" spans="1:13">
      <c r="A449" s="60"/>
      <c r="C449" s="34"/>
      <c r="I449" s="34"/>
    </row>
    <row r="450" spans="1:13">
      <c r="G450" t="s">
        <v>10</v>
      </c>
    </row>
    <row r="451" spans="1:13">
      <c r="B451" s="61" t="s">
        <v>69</v>
      </c>
      <c r="C451" s="61"/>
      <c r="H451" s="62" t="s">
        <v>70</v>
      </c>
      <c r="I451" s="62"/>
      <c r="J451" s="62"/>
      <c r="K451" s="62"/>
      <c r="L451" s="62"/>
    </row>
    <row r="452" spans="1:13">
      <c r="H452" s="63"/>
      <c r="I452" s="63"/>
      <c r="J452" s="63"/>
      <c r="K452" s="63"/>
      <c r="L452" s="63"/>
    </row>
    <row r="453" spans="1:13">
      <c r="H453" s="63"/>
      <c r="I453" s="63"/>
      <c r="J453" s="63"/>
      <c r="K453" s="63"/>
      <c r="L453" s="63"/>
    </row>
    <row r="454" spans="1:13">
      <c r="H454" s="63"/>
      <c r="I454" s="63"/>
      <c r="J454" s="63"/>
      <c r="K454" s="63"/>
      <c r="L454" s="63"/>
    </row>
    <row r="456" spans="1:13">
      <c r="H456" s="62"/>
      <c r="I456" s="62"/>
      <c r="J456" s="62"/>
      <c r="K456" s="62"/>
      <c r="L456" s="62"/>
    </row>
    <row r="457" spans="1:13">
      <c r="B457" s="61" t="s">
        <v>71</v>
      </c>
      <c r="C457" s="61"/>
      <c r="H457" s="62" t="str">
        <f>E395</f>
        <v>AKRAM ASSIDIK</v>
      </c>
      <c r="I457" s="62"/>
      <c r="J457" s="62"/>
      <c r="K457" s="62"/>
      <c r="L457" s="62"/>
    </row>
    <row r="459" ht="16.2" spans="1:13">
      <c r="A459" s="2"/>
      <c r="B459" s="5"/>
      <c r="C459" s="64"/>
      <c r="D459" s="64"/>
      <c r="E459" s="64"/>
      <c r="F459" s="2"/>
      <c r="G459" s="2"/>
      <c r="H459" s="2"/>
      <c r="I459" s="3"/>
      <c r="J459" s="3"/>
      <c r="K459" s="3"/>
      <c r="L459" s="3"/>
      <c r="M459" s="3"/>
    </row>
    <row r="460" ht="16.2" spans="1:13">
      <c r="A460" s="2"/>
      <c r="B460" s="5"/>
      <c r="C460" s="6"/>
      <c r="D460" s="3"/>
      <c r="E460" s="2"/>
      <c r="F460" s="2"/>
      <c r="G460" s="2"/>
      <c r="H460" s="2"/>
      <c r="I460" s="3"/>
      <c r="J460" s="3"/>
      <c r="K460" s="3"/>
      <c r="L460" s="3"/>
      <c r="M460" s="3"/>
    </row>
    <row r="461" ht="15.6" spans="1:13">
      <c r="A461" s="7"/>
      <c r="B461" s="8"/>
      <c r="C461" s="7"/>
      <c r="D461" s="9"/>
      <c r="E461" s="9"/>
      <c r="F461" s="10"/>
      <c r="G461" s="10"/>
      <c r="H461" s="9"/>
      <c r="I461" s="10"/>
      <c r="J461" s="10"/>
      <c r="K461" s="11"/>
      <c r="L461" s="7"/>
      <c r="M461" s="3"/>
    </row>
    <row r="462" ht="15.6" spans="1:13">
      <c r="A462" s="12"/>
      <c r="B462" s="13"/>
      <c r="C462" s="7"/>
      <c r="D462" s="9"/>
      <c r="E462" s="9"/>
      <c r="F462" s="10"/>
      <c r="G462" s="10"/>
      <c r="H462" s="9"/>
      <c r="I462" s="10"/>
      <c r="J462" s="10"/>
      <c r="K462" s="7"/>
      <c r="L462" s="73" t="s">
        <v>0</v>
      </c>
      <c r="M462" s="3"/>
    </row>
    <row r="463" ht="16.2" spans="1:13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3"/>
      <c r="M463" s="3"/>
    </row>
    <row r="464" ht="15.6" spans="1:13">
      <c r="A464" s="14" t="s">
        <v>1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</row>
    <row r="466" ht="15" spans="1:13">
      <c r="C466" s="1" t="s">
        <v>2</v>
      </c>
      <c r="D466" t="s">
        <v>3</v>
      </c>
      <c r="E466" s="15"/>
    </row>
    <row r="467" spans="1:13">
      <c r="C467" s="1" t="s">
        <v>4</v>
      </c>
      <c r="D467" t="s">
        <v>3</v>
      </c>
      <c r="E467" s="65">
        <v>46262</v>
      </c>
      <c r="F467" s="17" t="s">
        <v>5</v>
      </c>
      <c r="G467" s="66">
        <v>46265</v>
      </c>
      <c r="H467" s="66"/>
      <c r="I467" s="66"/>
    </row>
    <row r="468" ht="15" spans="1:13">
      <c r="C468" s="1" t="s">
        <v>6</v>
      </c>
      <c r="D468" t="s">
        <v>3</v>
      </c>
      <c r="E468" s="15" t="s">
        <v>110</v>
      </c>
    </row>
    <row r="469" spans="1:13">
      <c r="C469" s="19" t="s">
        <v>8</v>
      </c>
      <c r="D469" t="s">
        <v>3</v>
      </c>
      <c r="E469" s="20" t="s">
        <v>112</v>
      </c>
      <c r="F469" s="20"/>
      <c r="G469" s="20"/>
      <c r="H469" s="20"/>
      <c r="I469" s="20"/>
      <c r="J469" s="20"/>
      <c r="K469" s="20"/>
      <c r="L469" s="20"/>
      <c r="M469" s="20"/>
    </row>
    <row r="470" spans="1:13">
      <c r="C470"/>
      <c r="E470" s="20"/>
      <c r="F470" s="20"/>
      <c r="G470" s="20"/>
      <c r="H470" s="20"/>
      <c r="I470" s="20"/>
      <c r="J470" s="20"/>
      <c r="K470" s="20"/>
      <c r="L470" s="20"/>
      <c r="M470" s="20"/>
    </row>
    <row r="471" spans="1:13">
      <c r="C471" s="1" t="s">
        <v>11</v>
      </c>
      <c r="D471" t="s">
        <v>3</v>
      </c>
      <c r="E471" s="21" t="s">
        <v>15</v>
      </c>
      <c r="F471" s="16"/>
      <c r="G471" s="17"/>
      <c r="H471" s="18"/>
      <c r="I471" s="18"/>
    </row>
    <row r="472" ht="15.6" spans="1:13">
      <c r="C472" s="1" t="s">
        <v>16</v>
      </c>
      <c r="D472" t="s">
        <v>3</v>
      </c>
      <c r="E472" s="22" t="s">
        <v>104</v>
      </c>
      <c r="F472" s="22"/>
      <c r="G472" s="22"/>
      <c r="H472" s="22"/>
      <c r="I472" s="22"/>
    </row>
    <row r="473" ht="15.6" spans="1:13">
      <c r="C473" s="1" t="s">
        <v>18</v>
      </c>
      <c r="D473" t="s">
        <v>3</v>
      </c>
      <c r="E473" s="23" t="s">
        <v>19</v>
      </c>
      <c r="F473" s="24"/>
    </row>
    <row r="474" spans="1:13">
      <c r="E474" s="24"/>
    </row>
    <row r="475" spans="1:13">
      <c r="A475" s="25" t="s">
        <v>20</v>
      </c>
      <c r="B475" s="26" t="s">
        <v>21</v>
      </c>
      <c r="C475" s="27"/>
      <c r="D475" s="27"/>
      <c r="E475" s="27"/>
      <c r="F475" s="27"/>
      <c r="G475" s="27"/>
      <c r="H475" s="27"/>
      <c r="I475" s="27"/>
      <c r="J475" s="28"/>
      <c r="K475" s="26" t="s">
        <v>22</v>
      </c>
      <c r="L475" s="28"/>
      <c r="M475" s="29" t="s">
        <v>23</v>
      </c>
    </row>
    <row r="476" spans="1:13">
      <c r="A476" s="30"/>
      <c r="K476" s="31"/>
      <c r="L476" s="32"/>
      <c r="M476" s="30"/>
    </row>
    <row r="477" spans="1:13">
      <c r="A477" s="33" t="s">
        <v>24</v>
      </c>
      <c r="B477" t="s">
        <v>25</v>
      </c>
      <c r="K477" s="31"/>
      <c r="L477" s="32"/>
      <c r="M477" s="30"/>
    </row>
    <row r="478" spans="1:13">
      <c r="A478" s="33"/>
      <c r="K478" s="31"/>
      <c r="L478" s="32"/>
      <c r="M478" s="30"/>
    </row>
    <row r="479" spans="1:13">
      <c r="A479" s="33"/>
      <c r="B479" s="34">
        <v>1</v>
      </c>
      <c r="C479" s="34" t="s">
        <v>26</v>
      </c>
      <c r="K479" s="31"/>
      <c r="L479" s="32"/>
      <c r="M479" s="30"/>
    </row>
    <row r="480" spans="1:13">
      <c r="A480" s="33"/>
      <c r="B480" s="34"/>
      <c r="C480" s="1" t="s">
        <v>27</v>
      </c>
      <c r="G480">
        <v>0</v>
      </c>
      <c r="H480" s="1" t="s">
        <v>28</v>
      </c>
      <c r="I480" s="35">
        <v>0</v>
      </c>
      <c r="K480" s="31" t="s">
        <v>29</v>
      </c>
      <c r="L480" s="36">
        <f t="shared" ref="L480:L482" si="72">+I480*G480</f>
        <v>0</v>
      </c>
      <c r="M480" s="37"/>
    </row>
    <row r="481" spans="1:13">
      <c r="A481" s="33"/>
      <c r="B481" s="34"/>
      <c r="C481" s="1" t="s">
        <v>30</v>
      </c>
      <c r="G481">
        <v>0</v>
      </c>
      <c r="H481" t="s">
        <v>28</v>
      </c>
      <c r="I481" s="35">
        <v>0</v>
      </c>
      <c r="J481" s="38"/>
      <c r="K481" s="31" t="s">
        <v>29</v>
      </c>
      <c r="L481" s="36">
        <f t="shared" si="72"/>
        <v>0</v>
      </c>
      <c r="M481" s="39"/>
    </row>
    <row r="482" spans="1:13">
      <c r="A482" s="33"/>
      <c r="B482" s="34"/>
      <c r="C482" s="1" t="s">
        <v>31</v>
      </c>
      <c r="G482">
        <v>0</v>
      </c>
      <c r="H482" t="s">
        <v>28</v>
      </c>
      <c r="I482" s="35">
        <v>0</v>
      </c>
      <c r="K482" s="31" t="s">
        <v>29</v>
      </c>
      <c r="L482" s="36">
        <f t="shared" si="72"/>
        <v>0</v>
      </c>
      <c r="M482" s="37"/>
    </row>
    <row r="483" spans="1:13">
      <c r="A483" s="33"/>
      <c r="B483" s="34">
        <v>2</v>
      </c>
      <c r="C483" s="34" t="s">
        <v>32</v>
      </c>
      <c r="D483" s="34"/>
      <c r="K483" s="31"/>
      <c r="L483" s="40"/>
      <c r="M483" s="30"/>
    </row>
    <row r="484" spans="1:13">
      <c r="A484" s="33"/>
      <c r="B484" s="34"/>
      <c r="C484" s="1" t="s">
        <v>33</v>
      </c>
      <c r="D484" s="41"/>
      <c r="E484">
        <v>4</v>
      </c>
      <c r="F484" t="s">
        <v>34</v>
      </c>
      <c r="G484" s="38">
        <v>1</v>
      </c>
      <c r="H484" t="s">
        <v>28</v>
      </c>
      <c r="I484" s="42">
        <v>190000</v>
      </c>
      <c r="K484" s="31" t="s">
        <v>29</v>
      </c>
      <c r="L484" s="43">
        <f t="shared" ref="L484:L486" si="73">I484*G484*E484</f>
        <v>760000</v>
      </c>
      <c r="M484" s="37"/>
    </row>
    <row r="485" spans="1:13">
      <c r="A485" s="33"/>
      <c r="B485" s="34"/>
      <c r="C485" s="1" t="s">
        <v>35</v>
      </c>
      <c r="D485" s="41"/>
      <c r="E485">
        <v>3</v>
      </c>
      <c r="F485" t="s">
        <v>34</v>
      </c>
      <c r="G485" s="38">
        <v>1</v>
      </c>
      <c r="H485" t="str">
        <f t="shared" ref="H485:H489" si="74">+H484</f>
        <v>x Rp.</v>
      </c>
      <c r="I485" s="42">
        <v>50000</v>
      </c>
      <c r="K485" s="31" t="str">
        <f t="shared" ref="K485:K489" si="75">+K484</f>
        <v>Rp.</v>
      </c>
      <c r="L485" s="43">
        <f t="shared" si="73"/>
        <v>150000</v>
      </c>
      <c r="M485" s="37"/>
    </row>
    <row r="486" spans="1:13">
      <c r="A486" s="33"/>
      <c r="B486" s="34"/>
      <c r="C486" s="1" t="s">
        <v>36</v>
      </c>
      <c r="D486" s="41"/>
      <c r="E486">
        <v>0</v>
      </c>
      <c r="F486" t="s">
        <v>34</v>
      </c>
      <c r="G486" s="38">
        <v>1</v>
      </c>
      <c r="H486" t="str">
        <f t="shared" si="74"/>
        <v>x Rp.</v>
      </c>
      <c r="I486" s="42">
        <v>250000</v>
      </c>
      <c r="K486" s="31" t="str">
        <f t="shared" si="75"/>
        <v>Rp.</v>
      </c>
      <c r="L486" s="43">
        <f t="shared" si="73"/>
        <v>0</v>
      </c>
      <c r="M486" s="44"/>
    </row>
    <row r="487" spans="1:13">
      <c r="A487" s="33"/>
      <c r="B487" s="34">
        <v>3</v>
      </c>
      <c r="C487" s="34" t="s">
        <v>37</v>
      </c>
      <c r="D487" s="41"/>
      <c r="G487" s="38" t="s">
        <v>38</v>
      </c>
      <c r="I487" s="42"/>
      <c r="J487" s="1" t="s">
        <v>10</v>
      </c>
      <c r="K487" s="31"/>
      <c r="L487" s="40"/>
      <c r="M487" s="37"/>
    </row>
    <row r="488" spans="1:13">
      <c r="A488" s="33"/>
      <c r="B488" s="34"/>
      <c r="C488" s="1" t="s">
        <v>33</v>
      </c>
      <c r="D488" s="41"/>
      <c r="E488">
        <v>0</v>
      </c>
      <c r="F488" t="s">
        <v>34</v>
      </c>
      <c r="G488" s="38">
        <v>1</v>
      </c>
      <c r="H488" t="str">
        <f>+H486</f>
        <v>x Rp.</v>
      </c>
      <c r="I488" s="42">
        <v>0</v>
      </c>
      <c r="K488" s="31" t="s">
        <v>29</v>
      </c>
      <c r="L488" s="40">
        <f t="shared" ref="L488:L490" si="76">+E488*G488*I488</f>
        <v>0</v>
      </c>
      <c r="M488" s="39"/>
    </row>
    <row r="489" spans="1:13">
      <c r="A489" s="33"/>
      <c r="B489" s="34"/>
      <c r="C489" s="1" t="s">
        <v>35</v>
      </c>
      <c r="D489" s="41"/>
      <c r="E489">
        <v>0</v>
      </c>
      <c r="F489" t="s">
        <v>34</v>
      </c>
      <c r="G489" s="38">
        <v>1</v>
      </c>
      <c r="H489" t="str">
        <f t="shared" si="74"/>
        <v>x Rp.</v>
      </c>
      <c r="I489" s="42">
        <v>0</v>
      </c>
      <c r="K489" s="31" t="str">
        <f t="shared" si="75"/>
        <v>Rp.</v>
      </c>
      <c r="L489" s="40">
        <f t="shared" si="76"/>
        <v>0</v>
      </c>
      <c r="M489" s="37"/>
    </row>
    <row r="490" spans="1:13">
      <c r="A490" s="33"/>
      <c r="B490" s="34"/>
      <c r="C490" s="1" t="s">
        <v>36</v>
      </c>
      <c r="D490" s="41"/>
      <c r="E490">
        <v>0</v>
      </c>
      <c r="F490" t="s">
        <v>34</v>
      </c>
      <c r="G490" s="38">
        <v>1</v>
      </c>
      <c r="H490" t="s">
        <v>28</v>
      </c>
      <c r="I490" s="42">
        <v>0</v>
      </c>
      <c r="K490" s="31" t="s">
        <v>29</v>
      </c>
      <c r="L490" s="40">
        <f t="shared" si="76"/>
        <v>0</v>
      </c>
      <c r="M490" s="30"/>
    </row>
    <row r="491" spans="1:13">
      <c r="A491" s="33"/>
      <c r="B491" s="34">
        <v>4</v>
      </c>
      <c r="C491" s="34" t="s">
        <v>39</v>
      </c>
      <c r="D491" s="41"/>
      <c r="G491" s="38" t="s">
        <v>38</v>
      </c>
      <c r="I491" s="42"/>
      <c r="J491" s="1" t="s">
        <v>10</v>
      </c>
      <c r="K491" s="31"/>
      <c r="L491" s="40"/>
      <c r="M491" s="37"/>
    </row>
    <row r="492" spans="1:13">
      <c r="A492" s="33"/>
      <c r="B492" s="34"/>
      <c r="C492" s="1" t="s">
        <v>40</v>
      </c>
      <c r="D492" s="41"/>
      <c r="E492">
        <v>0</v>
      </c>
      <c r="F492" t="s">
        <v>34</v>
      </c>
      <c r="G492" s="38">
        <v>1</v>
      </c>
      <c r="H492" t="str">
        <f>+H493</f>
        <v>x Rp.</v>
      </c>
      <c r="I492" s="42">
        <v>0</v>
      </c>
      <c r="K492" s="31" t="str">
        <f>+K490</f>
        <v>Rp.</v>
      </c>
      <c r="L492" s="40">
        <f t="shared" ref="L492:L494" si="77">+E492*G492*I492</f>
        <v>0</v>
      </c>
      <c r="M492" s="45"/>
    </row>
    <row r="493" spans="1:13">
      <c r="A493" s="33"/>
      <c r="B493" s="34"/>
      <c r="C493" s="1" t="s">
        <v>41</v>
      </c>
      <c r="D493" s="41"/>
      <c r="E493">
        <v>0</v>
      </c>
      <c r="F493" t="s">
        <v>34</v>
      </c>
      <c r="G493" s="38">
        <v>1</v>
      </c>
      <c r="H493" t="str">
        <f>+H490</f>
        <v>x Rp.</v>
      </c>
      <c r="I493" s="42">
        <v>0</v>
      </c>
      <c r="K493" s="31" t="str">
        <f t="shared" ref="K493:K498" si="78">+K492</f>
        <v>Rp.</v>
      </c>
      <c r="L493" s="40">
        <f t="shared" si="77"/>
        <v>0</v>
      </c>
      <c r="M493" s="39"/>
    </row>
    <row r="494" spans="1:13">
      <c r="A494" s="33"/>
      <c r="B494" s="34"/>
      <c r="C494" s="1" t="s">
        <v>42</v>
      </c>
      <c r="D494" s="41"/>
      <c r="E494">
        <v>0</v>
      </c>
      <c r="F494" t="s">
        <v>34</v>
      </c>
      <c r="G494" s="38">
        <v>1</v>
      </c>
      <c r="H494" t="str">
        <f>+H493</f>
        <v>x Rp.</v>
      </c>
      <c r="I494" s="42">
        <v>0</v>
      </c>
      <c r="K494" s="31" t="str">
        <f t="shared" si="78"/>
        <v>Rp.</v>
      </c>
      <c r="L494" s="40">
        <f t="shared" si="77"/>
        <v>0</v>
      </c>
      <c r="M494" s="37"/>
    </row>
    <row r="495" spans="1:13">
      <c r="A495" s="33"/>
      <c r="B495" s="34">
        <v>5</v>
      </c>
      <c r="C495" s="34" t="s">
        <v>43</v>
      </c>
      <c r="D495" s="41"/>
      <c r="G495" s="38" t="s">
        <v>38</v>
      </c>
      <c r="I495" s="42"/>
      <c r="J495" s="1" t="s">
        <v>10</v>
      </c>
      <c r="K495" s="31"/>
      <c r="L495" s="40"/>
      <c r="M495" s="37"/>
    </row>
    <row r="496" spans="1:13">
      <c r="A496" s="33"/>
      <c r="B496" s="34"/>
      <c r="C496" s="1" t="s">
        <v>44</v>
      </c>
      <c r="D496" s="41"/>
      <c r="E496">
        <v>0</v>
      </c>
      <c r="F496" t="str">
        <f>+F497</f>
        <v>hari x</v>
      </c>
      <c r="G496" s="38">
        <v>1</v>
      </c>
      <c r="H496" t="str">
        <f>+H497</f>
        <v>x Rp.</v>
      </c>
      <c r="I496" s="42">
        <v>0</v>
      </c>
      <c r="K496" s="31" t="str">
        <f>+K494</f>
        <v>Rp.</v>
      </c>
      <c r="L496" s="40">
        <f t="shared" ref="L496:L498" si="79">+E496*G496*I496</f>
        <v>0</v>
      </c>
      <c r="M496" s="45"/>
    </row>
    <row r="497" spans="1:13">
      <c r="A497" s="33"/>
      <c r="B497" s="34"/>
      <c r="C497" s="1" t="s">
        <v>45</v>
      </c>
      <c r="D497" s="41"/>
      <c r="E497">
        <v>0</v>
      </c>
      <c r="F497" t="str">
        <f>+F494</f>
        <v>hari x</v>
      </c>
      <c r="G497" s="38">
        <v>1</v>
      </c>
      <c r="H497" t="str">
        <f>+H494</f>
        <v>x Rp.</v>
      </c>
      <c r="I497" s="42">
        <v>0</v>
      </c>
      <c r="K497" s="31" t="str">
        <f t="shared" si="78"/>
        <v>Rp.</v>
      </c>
      <c r="L497" s="40">
        <f t="shared" si="79"/>
        <v>0</v>
      </c>
      <c r="M497" s="39"/>
    </row>
    <row r="498" spans="1:13">
      <c r="A498" s="33"/>
      <c r="B498" s="34">
        <v>6</v>
      </c>
      <c r="C498" s="34" t="s">
        <v>46</v>
      </c>
      <c r="D498" s="41"/>
      <c r="E498">
        <v>0</v>
      </c>
      <c r="F498" t="s">
        <v>47</v>
      </c>
      <c r="G498" s="38">
        <v>1</v>
      </c>
      <c r="H498" t="str">
        <f>+H496</f>
        <v>x Rp.</v>
      </c>
      <c r="I498" s="42">
        <v>0</v>
      </c>
      <c r="K498" s="31" t="str">
        <f t="shared" si="78"/>
        <v>Rp.</v>
      </c>
      <c r="L498" s="40">
        <f t="shared" si="79"/>
        <v>0</v>
      </c>
      <c r="M498" s="37"/>
    </row>
    <row r="499" spans="1:13">
      <c r="A499" s="33"/>
      <c r="B499" s="34"/>
      <c r="D499" s="41"/>
      <c r="G499" s="38"/>
      <c r="I499" s="42"/>
      <c r="K499" s="31"/>
      <c r="L499" s="40"/>
      <c r="M499" s="30"/>
    </row>
    <row r="500" spans="1:13">
      <c r="A500" s="33"/>
      <c r="C500" s="1" t="s">
        <v>10</v>
      </c>
      <c r="D500" t="s">
        <v>10</v>
      </c>
      <c r="K500" s="31"/>
      <c r="L500" s="40"/>
      <c r="M500" s="30"/>
    </row>
    <row r="501" spans="1:13">
      <c r="A501" s="33"/>
      <c r="B501" s="34" t="s">
        <v>48</v>
      </c>
      <c r="E501" t="s">
        <v>10</v>
      </c>
      <c r="K501" s="31" t="s">
        <v>29</v>
      </c>
      <c r="L501" s="46">
        <f>SUM(L480:L498)</f>
        <v>910000</v>
      </c>
      <c r="M501" s="30"/>
    </row>
    <row r="502" spans="1:13">
      <c r="A502" s="33"/>
      <c r="D502" t="s">
        <v>10</v>
      </c>
      <c r="E502" t="s">
        <v>10</v>
      </c>
      <c r="J502" t="s">
        <v>10</v>
      </c>
      <c r="K502" s="31" t="s">
        <v>10</v>
      </c>
      <c r="L502" s="40"/>
      <c r="M502" s="30"/>
    </row>
    <row r="503" spans="1:13">
      <c r="A503" s="33" t="s">
        <v>49</v>
      </c>
      <c r="B503" s="34" t="s">
        <v>50</v>
      </c>
      <c r="K503" s="31"/>
      <c r="L503" s="40"/>
      <c r="M503" s="30"/>
    </row>
    <row r="504" spans="1:13">
      <c r="A504" s="33"/>
      <c r="B504" s="34">
        <v>1</v>
      </c>
      <c r="C504" s="34" t="s">
        <v>51</v>
      </c>
      <c r="K504" s="31"/>
      <c r="L504" s="40"/>
      <c r="M504" s="30"/>
    </row>
    <row r="505" spans="1:13">
      <c r="A505" s="33"/>
      <c r="C505" s="1" t="s">
        <v>52</v>
      </c>
      <c r="K505" s="31" t="s">
        <v>29</v>
      </c>
      <c r="L505" s="40">
        <v>0</v>
      </c>
      <c r="M505" s="30"/>
    </row>
    <row r="506" spans="1:13">
      <c r="A506" s="33"/>
      <c r="C506" s="1" t="s">
        <v>53</v>
      </c>
      <c r="K506" s="31" t="s">
        <v>29</v>
      </c>
      <c r="L506" s="40">
        <v>0</v>
      </c>
      <c r="M506" s="30"/>
    </row>
    <row r="507" spans="1:13">
      <c r="A507" s="33"/>
      <c r="C507" s="1" t="s">
        <v>54</v>
      </c>
      <c r="K507" s="31" t="s">
        <v>29</v>
      </c>
      <c r="L507" s="40">
        <v>0</v>
      </c>
      <c r="M507" s="30"/>
    </row>
    <row r="508" spans="1:13">
      <c r="A508" s="33"/>
      <c r="K508" s="31" t="s">
        <v>29</v>
      </c>
      <c r="L508" s="40">
        <v>0</v>
      </c>
      <c r="M508" s="30"/>
    </row>
    <row r="509" spans="1:13">
      <c r="A509" s="33"/>
      <c r="B509" s="34">
        <v>2</v>
      </c>
      <c r="C509" s="34" t="s">
        <v>55</v>
      </c>
      <c r="K509" s="31"/>
      <c r="L509" s="40"/>
      <c r="M509" s="30"/>
    </row>
    <row r="510" spans="1:13">
      <c r="A510" s="33"/>
      <c r="C510" s="1" t="s">
        <v>56</v>
      </c>
      <c r="D510" t="s">
        <v>57</v>
      </c>
      <c r="E510" t="s">
        <v>58</v>
      </c>
      <c r="F510" t="s">
        <v>34</v>
      </c>
      <c r="H510" t="s">
        <v>59</v>
      </c>
      <c r="I510" t="s">
        <v>60</v>
      </c>
      <c r="K510" s="31" t="s">
        <v>29</v>
      </c>
      <c r="L510" s="40">
        <v>0</v>
      </c>
      <c r="M510" s="30"/>
    </row>
    <row r="511" spans="1:13">
      <c r="A511" s="33"/>
      <c r="C511" s="1" t="s">
        <v>61</v>
      </c>
      <c r="K511" s="31"/>
      <c r="L511" s="40"/>
      <c r="M511" s="30"/>
    </row>
    <row r="512" spans="1:13">
      <c r="A512" s="33"/>
      <c r="B512" s="34">
        <v>3</v>
      </c>
      <c r="C512" s="1" t="s">
        <v>62</v>
      </c>
      <c r="K512" s="31"/>
      <c r="L512" s="40"/>
      <c r="M512" s="30"/>
    </row>
    <row r="513" spans="1:13">
      <c r="A513" s="33"/>
      <c r="B513" s="34"/>
      <c r="C513" s="1" t="s">
        <v>40</v>
      </c>
      <c r="E513">
        <v>0</v>
      </c>
      <c r="F513" t="str">
        <f>+F496</f>
        <v>hari x</v>
      </c>
      <c r="G513" s="38">
        <v>1</v>
      </c>
      <c r="H513">
        <f>+H514</f>
        <v>0</v>
      </c>
      <c r="I513" s="42">
        <v>0</v>
      </c>
      <c r="K513" s="31" t="str">
        <f>+K510</f>
        <v>Rp.</v>
      </c>
      <c r="L513" s="40">
        <f t="shared" ref="L513:L515" si="80">+E513*G513*I513</f>
        <v>0</v>
      </c>
      <c r="M513" s="30"/>
    </row>
    <row r="514" spans="1:13">
      <c r="A514" s="33"/>
      <c r="B514" s="34"/>
      <c r="C514" s="1" t="s">
        <v>41</v>
      </c>
      <c r="E514">
        <v>0</v>
      </c>
      <c r="F514" t="str">
        <f>+F513</f>
        <v>hari x</v>
      </c>
      <c r="G514" s="38">
        <v>1</v>
      </c>
      <c r="H514">
        <f>+H511</f>
        <v>0</v>
      </c>
      <c r="I514" s="42">
        <v>0</v>
      </c>
      <c r="K514" s="31" t="str">
        <f>+K513</f>
        <v>Rp.</v>
      </c>
      <c r="L514" s="40">
        <f t="shared" si="80"/>
        <v>0</v>
      </c>
      <c r="M514" s="30"/>
    </row>
    <row r="515" spans="1:13">
      <c r="A515" s="33"/>
      <c r="B515" s="34"/>
      <c r="C515" s="1" t="s">
        <v>42</v>
      </c>
      <c r="E515">
        <v>0</v>
      </c>
      <c r="F515" t="str">
        <f t="shared" ref="F515:K515" si="81">+F514</f>
        <v>hari x</v>
      </c>
      <c r="G515" s="38">
        <v>0.5</v>
      </c>
      <c r="H515">
        <f t="shared" si="81"/>
        <v>0</v>
      </c>
      <c r="I515" s="42">
        <v>0</v>
      </c>
      <c r="K515" s="31" t="str">
        <f t="shared" si="81"/>
        <v>Rp.</v>
      </c>
      <c r="L515" s="40">
        <f t="shared" si="80"/>
        <v>0</v>
      </c>
      <c r="M515" s="30"/>
    </row>
    <row r="516" spans="1:13">
      <c r="A516" s="33"/>
      <c r="B516">
        <v>4</v>
      </c>
      <c r="C516" s="1" t="s">
        <v>63</v>
      </c>
      <c r="G516" s="41"/>
      <c r="I516" s="1" t="s">
        <v>10</v>
      </c>
      <c r="K516" s="31"/>
      <c r="L516" s="40"/>
      <c r="M516" s="30"/>
    </row>
    <row r="517" spans="1:13">
      <c r="A517" s="33"/>
      <c r="K517" s="31"/>
      <c r="L517" s="40"/>
      <c r="M517" s="30"/>
    </row>
    <row r="518" spans="1:13">
      <c r="A518" s="33"/>
      <c r="B518" s="34" t="s">
        <v>64</v>
      </c>
      <c r="C518" s="34"/>
      <c r="K518" s="31" t="s">
        <v>29</v>
      </c>
      <c r="L518" s="46">
        <f>SUM(L505:L517)</f>
        <v>0</v>
      </c>
      <c r="M518" s="30"/>
    </row>
    <row r="519" spans="1:13">
      <c r="A519" s="33"/>
      <c r="K519" s="31"/>
      <c r="L519" s="40"/>
      <c r="M519" s="30"/>
    </row>
    <row r="520" ht="15.15" spans="1:13">
      <c r="A520" s="33" t="s">
        <v>65</v>
      </c>
      <c r="B520" s="34" t="s">
        <v>66</v>
      </c>
      <c r="C520" s="34"/>
      <c r="K520" s="31" t="s">
        <v>29</v>
      </c>
      <c r="L520" s="46">
        <f>L518+L501</f>
        <v>910000</v>
      </c>
      <c r="M520" s="47"/>
    </row>
    <row r="521" spans="1:13">
      <c r="A521" s="30"/>
      <c r="G521" t="s">
        <v>10</v>
      </c>
      <c r="K521" s="48"/>
      <c r="L521" s="49"/>
      <c r="M521" s="47"/>
    </row>
    <row r="522" spans="1:13">
      <c r="A522" s="50"/>
      <c r="B522" s="51"/>
      <c r="C522" s="52"/>
      <c r="D522" s="52"/>
      <c r="E522" s="52"/>
      <c r="F522" s="53"/>
      <c r="G522" s="53"/>
      <c r="H522" s="53"/>
      <c r="I522" s="53"/>
      <c r="J522" s="54"/>
      <c r="K522" s="55"/>
      <c r="L522" s="54"/>
      <c r="M522" s="56"/>
    </row>
    <row r="523" spans="1:13">
      <c r="B523" t="s">
        <v>10</v>
      </c>
      <c r="K523" s="57"/>
      <c r="L523" s="57"/>
      <c r="M523" s="57"/>
    </row>
    <row r="524" spans="1:13">
      <c r="A524" t="s">
        <v>67</v>
      </c>
      <c r="H524" t="s">
        <v>68</v>
      </c>
    </row>
    <row r="525" spans="1:13">
      <c r="B525">
        <v>1</v>
      </c>
      <c r="C525" s="34" t="s">
        <v>29</v>
      </c>
      <c r="D525" s="34"/>
      <c r="E525" s="58">
        <f>+L520</f>
        <v>910000</v>
      </c>
      <c r="H525">
        <v>1</v>
      </c>
      <c r="I525" s="34" t="s">
        <v>29</v>
      </c>
      <c r="L525" s="59">
        <f>+L520</f>
        <v>910000</v>
      </c>
    </row>
    <row r="526" spans="1:13">
      <c r="A526" s="60"/>
      <c r="C526" s="34"/>
      <c r="I526" s="34"/>
    </row>
    <row r="527" spans="1:13">
      <c r="G527" t="s">
        <v>10</v>
      </c>
    </row>
    <row r="528" spans="1:13">
      <c r="B528" s="61" t="s">
        <v>69</v>
      </c>
      <c r="C528" s="61"/>
      <c r="H528" s="62" t="s">
        <v>70</v>
      </c>
      <c r="I528" s="62"/>
      <c r="J528" s="62"/>
      <c r="K528" s="62"/>
      <c r="L528" s="62"/>
    </row>
    <row r="529" spans="2:12">
      <c r="H529" s="63"/>
      <c r="I529" s="63"/>
      <c r="J529" s="63"/>
      <c r="K529" s="63"/>
      <c r="L529" s="63"/>
    </row>
    <row r="530" spans="2:12">
      <c r="H530" s="63"/>
      <c r="I530" s="63"/>
      <c r="J530" s="63"/>
      <c r="K530" s="63"/>
      <c r="L530" s="63"/>
    </row>
    <row r="531" spans="2:12">
      <c r="H531" s="63"/>
      <c r="I531" s="63"/>
      <c r="J531" s="63"/>
      <c r="K531" s="63"/>
      <c r="L531" s="63"/>
    </row>
    <row r="533" spans="2:12">
      <c r="H533" s="62"/>
      <c r="I533" s="62"/>
      <c r="J533" s="62"/>
      <c r="K533" s="62"/>
      <c r="L533" s="62"/>
    </row>
    <row r="534" spans="2:12">
      <c r="B534" s="61" t="s">
        <v>71</v>
      </c>
      <c r="C534" s="61"/>
      <c r="H534" s="62" t="str">
        <f>E472</f>
        <v>AKRAM ASSIDIK</v>
      </c>
      <c r="I534" s="62"/>
      <c r="J534" s="62"/>
      <c r="K534" s="62"/>
      <c r="L534" s="62"/>
    </row>
  </sheetData>
  <mergeCells count="98">
    <mergeCell ref="A7:M7"/>
    <mergeCell ref="G10:I10"/>
    <mergeCell ref="H14:I14"/>
    <mergeCell ref="E15:I15"/>
    <mergeCell ref="B18:J18"/>
    <mergeCell ref="K18:L18"/>
    <mergeCell ref="B65:E65"/>
    <mergeCell ref="K66:M66"/>
    <mergeCell ref="B71:C71"/>
    <mergeCell ref="H71:L71"/>
    <mergeCell ref="B75:C75"/>
    <mergeCell ref="H75:L75"/>
    <mergeCell ref="A82:M82"/>
    <mergeCell ref="G85:I85"/>
    <mergeCell ref="H89:I89"/>
    <mergeCell ref="E90:I90"/>
    <mergeCell ref="B93:J93"/>
    <mergeCell ref="K93:L93"/>
    <mergeCell ref="B140:E140"/>
    <mergeCell ref="K141:M141"/>
    <mergeCell ref="B146:C146"/>
    <mergeCell ref="H146:L146"/>
    <mergeCell ref="B151:C151"/>
    <mergeCell ref="H151:L151"/>
    <mergeCell ref="A158:M158"/>
    <mergeCell ref="G161:I161"/>
    <mergeCell ref="H165:I165"/>
    <mergeCell ref="E166:I166"/>
    <mergeCell ref="B169:J169"/>
    <mergeCell ref="K169:L169"/>
    <mergeCell ref="B216:E216"/>
    <mergeCell ref="K217:M217"/>
    <mergeCell ref="B222:C222"/>
    <mergeCell ref="H222:L222"/>
    <mergeCell ref="H227:L227"/>
    <mergeCell ref="B228:C228"/>
    <mergeCell ref="H228:L228"/>
    <mergeCell ref="A234:M234"/>
    <mergeCell ref="G237:I237"/>
    <mergeCell ref="H241:I241"/>
    <mergeCell ref="E242:I242"/>
    <mergeCell ref="B245:J245"/>
    <mergeCell ref="K245:L245"/>
    <mergeCell ref="B292:E292"/>
    <mergeCell ref="K293:M293"/>
    <mergeCell ref="B298:C298"/>
    <mergeCell ref="H298:L298"/>
    <mergeCell ref="H303:L303"/>
    <mergeCell ref="B304:C304"/>
    <mergeCell ref="H304:L304"/>
    <mergeCell ref="A310:M310"/>
    <mergeCell ref="G313:I313"/>
    <mergeCell ref="H317:I317"/>
    <mergeCell ref="E318:I318"/>
    <mergeCell ref="B321:J321"/>
    <mergeCell ref="K321:L321"/>
    <mergeCell ref="B368:E368"/>
    <mergeCell ref="K369:M369"/>
    <mergeCell ref="B374:C374"/>
    <mergeCell ref="H374:L374"/>
    <mergeCell ref="H379:L379"/>
    <mergeCell ref="B380:C380"/>
    <mergeCell ref="H380:L380"/>
    <mergeCell ref="A387:M387"/>
    <mergeCell ref="G390:I390"/>
    <mergeCell ref="H394:I394"/>
    <mergeCell ref="E395:I395"/>
    <mergeCell ref="B398:J398"/>
    <mergeCell ref="K398:L398"/>
    <mergeCell ref="B445:E445"/>
    <mergeCell ref="K446:M446"/>
    <mergeCell ref="B451:C451"/>
    <mergeCell ref="H451:L451"/>
    <mergeCell ref="H456:L456"/>
    <mergeCell ref="B457:C457"/>
    <mergeCell ref="H457:L457"/>
    <mergeCell ref="A464:M464"/>
    <mergeCell ref="G467:I467"/>
    <mergeCell ref="H471:I471"/>
    <mergeCell ref="E472:I472"/>
    <mergeCell ref="B475:J475"/>
    <mergeCell ref="K475:L475"/>
    <mergeCell ref="B522:E522"/>
    <mergeCell ref="K523:M523"/>
    <mergeCell ref="B528:C528"/>
    <mergeCell ref="H528:L528"/>
    <mergeCell ref="H533:L533"/>
    <mergeCell ref="B534:C534"/>
    <mergeCell ref="H534:L534"/>
    <mergeCell ref="C1:E2"/>
    <mergeCell ref="E12:M13"/>
    <mergeCell ref="E239:M240"/>
    <mergeCell ref="E315:M316"/>
    <mergeCell ref="E163:M164"/>
    <mergeCell ref="E87:M88"/>
    <mergeCell ref="C76:E77"/>
    <mergeCell ref="E392:M393"/>
    <mergeCell ref="E469:M470"/>
  </mergeCells>
  <pageMargins left="0.7" right="0.7" top="0.75" bottom="0.75" header="0.3" footer="0.3"/>
  <pageSetup paperSize="9" scale="46" orientation="portrait"/>
  <headerFooter/>
  <rowBreaks count="6" manualBreakCount="6">
    <brk id="76" max="16383" man="1"/>
    <brk id="152" max="12" man="1"/>
    <brk id="228" max="16383" man="1"/>
    <brk id="304" max="12" man="1"/>
    <brk id="381" max="12" man="1"/>
    <brk id="458" max="1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8"/>
  <sheetViews>
    <sheetView view="pageBreakPreview" zoomScale="90" zoomScaleNormal="90" topLeftCell="A67" workbookViewId="0">
      <selection activeCell="F80" sqref="F80"/>
    </sheetView>
  </sheetViews>
  <sheetFormatPr defaultColWidth="9" defaultRowHeight="14.4"/>
  <cols>
    <col min="1" max="1" width="6.11111111111111" customWidth="1"/>
    <col min="2" max="2" width="3" customWidth="1"/>
    <col min="3" max="3" width="27.5555555555556" style="1" customWidth="1"/>
    <col min="4" max="4" width="3.11111111111111" customWidth="1"/>
    <col min="5" max="5" width="20.5555555555556" customWidth="1"/>
    <col min="6" max="6" width="15.4444444444444" customWidth="1"/>
    <col min="7" max="7" width="11.8888888888889" customWidth="1"/>
    <col min="8" max="8" width="5.55555555555556" customWidth="1"/>
    <col min="9" max="9" width="15.1111111111111" customWidth="1"/>
    <col min="10" max="10" width="9.44444444444444" customWidth="1"/>
    <col min="11" max="11" width="3.88888888888889" customWidth="1"/>
    <col min="12" max="12" width="12" customWidth="1"/>
    <col min="13" max="13" width="11.6666666666667" customWidth="1"/>
  </cols>
  <sheetData>
    <row r="1" ht="16.2" spans="1:17">
      <c r="A1" s="2"/>
      <c r="B1" s="3"/>
      <c r="C1" s="4"/>
      <c r="D1" s="4"/>
      <c r="E1" s="4"/>
      <c r="F1" s="2"/>
      <c r="G1" s="2"/>
      <c r="H1" s="2"/>
      <c r="I1" s="3"/>
      <c r="J1" s="3"/>
      <c r="K1" s="3"/>
      <c r="L1" s="3"/>
      <c r="M1" s="3"/>
    </row>
    <row r="2" ht="16.2" spans="1:17">
      <c r="A2" s="2"/>
      <c r="B2" s="5"/>
      <c r="C2" s="4"/>
      <c r="D2" s="4"/>
      <c r="E2" s="4"/>
      <c r="F2" s="2"/>
      <c r="G2" s="2"/>
      <c r="H2" s="2"/>
      <c r="I2" s="3"/>
      <c r="J2" s="3"/>
      <c r="K2" s="3"/>
      <c r="L2" s="3"/>
      <c r="M2" s="3"/>
    </row>
    <row r="3" ht="16.2" spans="1:17">
      <c r="A3" s="2"/>
      <c r="B3" s="5"/>
      <c r="C3" s="6"/>
      <c r="D3" s="3"/>
      <c r="E3" s="2"/>
      <c r="F3" s="2"/>
      <c r="G3" s="2"/>
      <c r="H3" s="2"/>
      <c r="I3" s="3"/>
      <c r="J3" s="3"/>
      <c r="K3" s="3"/>
      <c r="L3" s="3"/>
      <c r="M3" s="3"/>
    </row>
    <row r="4" ht="15.6" spans="1:17">
      <c r="A4" s="7"/>
      <c r="B4" s="8"/>
      <c r="C4" s="7"/>
      <c r="D4" s="9"/>
      <c r="E4" s="9"/>
      <c r="F4" s="10"/>
      <c r="G4" s="10"/>
      <c r="H4" s="9"/>
      <c r="I4" s="10"/>
      <c r="J4" s="10"/>
      <c r="K4" s="11"/>
      <c r="L4" s="7"/>
      <c r="M4" s="3"/>
    </row>
    <row r="5" ht="15.6" spans="1:17">
      <c r="A5" s="12"/>
      <c r="B5" s="13"/>
      <c r="C5" s="7"/>
      <c r="D5" s="9"/>
      <c r="E5" s="9"/>
      <c r="F5" s="10"/>
      <c r="G5" s="10"/>
      <c r="H5" s="9"/>
      <c r="I5" s="10"/>
      <c r="J5" s="10"/>
      <c r="K5" s="7"/>
      <c r="L5" s="73" t="s">
        <v>0</v>
      </c>
      <c r="M5" s="3"/>
    </row>
    <row r="6" ht="16.2" spans="1:17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 ht="15.6" spans="1:17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ht="15" spans="1:17">
      <c r="C9" s="1" t="s">
        <v>2</v>
      </c>
      <c r="D9" t="s">
        <v>3</v>
      </c>
      <c r="E9" s="15"/>
    </row>
    <row r="10" spans="1:17">
      <c r="C10" s="1" t="s">
        <v>4</v>
      </c>
      <c r="D10" t="s">
        <v>3</v>
      </c>
      <c r="E10" s="16">
        <v>44750</v>
      </c>
      <c r="F10" s="17" t="s">
        <v>5</v>
      </c>
      <c r="G10" s="18">
        <v>44751</v>
      </c>
      <c r="H10" s="18"/>
    </row>
    <row r="11" ht="15" spans="1:17">
      <c r="C11" s="1" t="s">
        <v>6</v>
      </c>
      <c r="D11" t="s">
        <v>3</v>
      </c>
      <c r="E11" s="15" t="s">
        <v>113</v>
      </c>
    </row>
    <row r="12" ht="15" customHeight="1" spans="1:17">
      <c r="C12" s="19" t="s">
        <v>8</v>
      </c>
      <c r="D12" t="s">
        <v>3</v>
      </c>
      <c r="E12" s="20" t="s">
        <v>114</v>
      </c>
      <c r="F12" s="20"/>
      <c r="G12" s="20"/>
      <c r="H12" s="20"/>
      <c r="I12" s="20"/>
      <c r="J12" s="20"/>
      <c r="K12" s="20"/>
      <c r="L12" s="20"/>
      <c r="M12" s="20"/>
    </row>
    <row r="13" spans="1:17">
      <c r="C13"/>
      <c r="E13" s="20"/>
      <c r="F13" s="20"/>
      <c r="G13" s="20"/>
      <c r="H13" s="20"/>
      <c r="I13" s="20"/>
      <c r="J13" s="20"/>
      <c r="K13" s="20"/>
      <c r="L13" s="20"/>
      <c r="M13" s="20"/>
    </row>
    <row r="14" spans="1:17">
      <c r="C14" s="1" t="s">
        <v>11</v>
      </c>
      <c r="D14" t="s">
        <v>3</v>
      </c>
      <c r="E14" s="21" t="s">
        <v>14</v>
      </c>
      <c r="F14" s="16"/>
      <c r="G14" s="17"/>
      <c r="H14" s="18"/>
      <c r="I14" s="18"/>
      <c r="N14" s="21" t="s">
        <v>13</v>
      </c>
      <c r="O14" s="21" t="s">
        <v>14</v>
      </c>
      <c r="P14" s="21" t="s">
        <v>12</v>
      </c>
      <c r="Q14" s="21" t="s">
        <v>15</v>
      </c>
    </row>
    <row r="15" ht="15.6" spans="1:17">
      <c r="C15" s="1" t="s">
        <v>16</v>
      </c>
      <c r="D15" t="s">
        <v>3</v>
      </c>
      <c r="E15" s="22" t="s">
        <v>115</v>
      </c>
      <c r="F15" s="22"/>
      <c r="G15" s="22"/>
      <c r="H15" s="22"/>
      <c r="I15" s="22"/>
    </row>
    <row r="16" ht="15.6" spans="1:17">
      <c r="C16" s="1" t="s">
        <v>18</v>
      </c>
      <c r="D16" t="s">
        <v>3</v>
      </c>
      <c r="E16" s="23" t="s">
        <v>116</v>
      </c>
      <c r="F16" s="24"/>
    </row>
    <row r="17" spans="1:13">
      <c r="E17" s="24"/>
    </row>
    <row r="18" spans="1:13">
      <c r="A18" s="25" t="s">
        <v>20</v>
      </c>
      <c r="B18" s="26" t="s">
        <v>21</v>
      </c>
      <c r="C18" s="27"/>
      <c r="D18" s="27"/>
      <c r="E18" s="27"/>
      <c r="F18" s="27"/>
      <c r="G18" s="27"/>
      <c r="H18" s="27"/>
      <c r="I18" s="27"/>
      <c r="J18" s="28"/>
      <c r="K18" s="26" t="s">
        <v>22</v>
      </c>
      <c r="L18" s="28"/>
      <c r="M18" s="29" t="s">
        <v>23</v>
      </c>
    </row>
    <row r="19" spans="1:13">
      <c r="A19" s="30"/>
      <c r="K19" s="31"/>
      <c r="L19" s="32"/>
      <c r="M19" s="30"/>
    </row>
    <row r="20" spans="1:13">
      <c r="A20" s="33" t="s">
        <v>24</v>
      </c>
      <c r="B20" t="s">
        <v>25</v>
      </c>
      <c r="K20" s="31"/>
      <c r="L20" s="32"/>
      <c r="M20" s="30"/>
    </row>
    <row r="21" spans="1:13">
      <c r="A21" s="33"/>
      <c r="K21" s="31"/>
      <c r="L21" s="32"/>
      <c r="M21" s="30"/>
    </row>
    <row r="22" spans="1:13">
      <c r="A22" s="33"/>
      <c r="B22" s="34">
        <v>1</v>
      </c>
      <c r="C22" s="34" t="s">
        <v>26</v>
      </c>
      <c r="K22" s="31"/>
      <c r="L22" s="32"/>
      <c r="M22" s="30"/>
    </row>
    <row r="23" spans="1:13">
      <c r="A23" s="33"/>
      <c r="B23" s="34"/>
      <c r="C23" s="1" t="s">
        <v>27</v>
      </c>
      <c r="G23">
        <v>0</v>
      </c>
      <c r="H23" s="1" t="s">
        <v>28</v>
      </c>
      <c r="I23" s="35">
        <v>0</v>
      </c>
      <c r="K23" s="31" t="s">
        <v>29</v>
      </c>
      <c r="L23" s="36">
        <f t="shared" ref="L23:L25" si="0">+I23*G23</f>
        <v>0</v>
      </c>
      <c r="M23" s="37"/>
    </row>
    <row r="24" spans="1:13">
      <c r="A24" s="33"/>
      <c r="B24" s="34"/>
      <c r="C24" s="1" t="s">
        <v>30</v>
      </c>
      <c r="G24">
        <v>0</v>
      </c>
      <c r="H24" t="s">
        <v>28</v>
      </c>
      <c r="I24" s="35">
        <v>0</v>
      </c>
      <c r="J24" s="38"/>
      <c r="K24" s="31" t="s">
        <v>29</v>
      </c>
      <c r="L24" s="36">
        <f t="shared" si="0"/>
        <v>0</v>
      </c>
      <c r="M24" s="39"/>
    </row>
    <row r="25" spans="1:13">
      <c r="A25" s="33"/>
      <c r="B25" s="34"/>
      <c r="C25" s="1" t="s">
        <v>31</v>
      </c>
      <c r="G25">
        <v>0</v>
      </c>
      <c r="H25" t="s">
        <v>28</v>
      </c>
      <c r="I25" s="35">
        <v>0</v>
      </c>
      <c r="K25" s="31" t="s">
        <v>29</v>
      </c>
      <c r="L25" s="36">
        <f t="shared" si="0"/>
        <v>0</v>
      </c>
      <c r="M25" s="37"/>
    </row>
    <row r="26" spans="1:13">
      <c r="A26" s="33"/>
      <c r="B26" s="34">
        <v>2</v>
      </c>
      <c r="C26" s="34" t="s">
        <v>32</v>
      </c>
      <c r="D26" s="34"/>
      <c r="K26" s="31"/>
      <c r="L26" s="40"/>
      <c r="M26" s="30"/>
    </row>
    <row r="27" spans="1:13">
      <c r="A27" s="33"/>
      <c r="B27" s="34"/>
      <c r="C27" s="1" t="s">
        <v>33</v>
      </c>
      <c r="D27" s="41"/>
      <c r="E27">
        <v>2</v>
      </c>
      <c r="F27" t="s">
        <v>34</v>
      </c>
      <c r="G27" s="38">
        <v>1</v>
      </c>
      <c r="H27" t="s">
        <v>28</v>
      </c>
      <c r="I27" s="42">
        <v>190000</v>
      </c>
      <c r="K27" s="31" t="s">
        <v>29</v>
      </c>
      <c r="L27" s="43">
        <f t="shared" ref="L27:L29" si="1">I27*G27*E27</f>
        <v>380000</v>
      </c>
      <c r="M27" s="37"/>
    </row>
    <row r="28" spans="1:13">
      <c r="A28" s="33"/>
      <c r="B28" s="34"/>
      <c r="C28" s="1" t="s">
        <v>35</v>
      </c>
      <c r="D28" s="41"/>
      <c r="E28">
        <v>1</v>
      </c>
      <c r="F28" t="s">
        <v>34</v>
      </c>
      <c r="G28" s="38">
        <v>1</v>
      </c>
      <c r="H28" t="str">
        <f t="shared" ref="H28:K29" si="2">+H27</f>
        <v>x Rp.</v>
      </c>
      <c r="I28" s="42">
        <v>50000</v>
      </c>
      <c r="K28" s="31" t="str">
        <f t="shared" si="2"/>
        <v>Rp.</v>
      </c>
      <c r="L28" s="43">
        <f t="shared" si="1"/>
        <v>50000</v>
      </c>
      <c r="M28" s="37"/>
    </row>
    <row r="29" spans="1:13">
      <c r="A29" s="33"/>
      <c r="B29" s="34"/>
      <c r="C29" s="1" t="s">
        <v>36</v>
      </c>
      <c r="D29" s="41"/>
      <c r="E29">
        <v>0</v>
      </c>
      <c r="F29" t="s">
        <v>34</v>
      </c>
      <c r="G29" s="38">
        <v>1</v>
      </c>
      <c r="H29" t="str">
        <f t="shared" si="2"/>
        <v>x Rp.</v>
      </c>
      <c r="I29" s="42">
        <v>250000</v>
      </c>
      <c r="K29" s="31" t="str">
        <f t="shared" si="2"/>
        <v>Rp.</v>
      </c>
      <c r="L29" s="43">
        <f t="shared" si="1"/>
        <v>0</v>
      </c>
      <c r="M29" s="44"/>
    </row>
    <row r="30" spans="1:13">
      <c r="A30" s="33"/>
      <c r="B30" s="34">
        <v>3</v>
      </c>
      <c r="C30" s="34" t="s">
        <v>37</v>
      </c>
      <c r="D30" s="41"/>
      <c r="G30" s="38" t="s">
        <v>38</v>
      </c>
      <c r="I30" s="42"/>
      <c r="J30" s="1" t="s">
        <v>10</v>
      </c>
      <c r="K30" s="31"/>
      <c r="L30" s="40"/>
      <c r="M30" s="37"/>
    </row>
    <row r="31" spans="1:13">
      <c r="A31" s="33"/>
      <c r="B31" s="34"/>
      <c r="C31" s="1" t="s">
        <v>33</v>
      </c>
      <c r="D31" s="41"/>
      <c r="E31">
        <v>0</v>
      </c>
      <c r="F31" t="s">
        <v>34</v>
      </c>
      <c r="G31" s="38">
        <v>1</v>
      </c>
      <c r="H31" t="str">
        <f>+H29</f>
        <v>x Rp.</v>
      </c>
      <c r="I31" s="42">
        <v>0</v>
      </c>
      <c r="K31" s="31" t="s">
        <v>29</v>
      </c>
      <c r="L31" s="40">
        <f t="shared" ref="L31:L33" si="3">+E31*G31*I31</f>
        <v>0</v>
      </c>
      <c r="M31" s="39"/>
    </row>
    <row r="32" spans="1:13">
      <c r="A32" s="33"/>
      <c r="B32" s="34"/>
      <c r="C32" s="1" t="s">
        <v>35</v>
      </c>
      <c r="D32" s="41"/>
      <c r="E32">
        <v>0</v>
      </c>
      <c r="F32" t="s">
        <v>34</v>
      </c>
      <c r="G32" s="38">
        <v>1</v>
      </c>
      <c r="H32" t="str">
        <f t="shared" ref="H32" si="4">+H31</f>
        <v>x Rp.</v>
      </c>
      <c r="I32" s="42">
        <v>0</v>
      </c>
      <c r="K32" s="31" t="str">
        <f t="shared" ref="K32" si="5">+K31</f>
        <v>Rp.</v>
      </c>
      <c r="L32" s="40">
        <f t="shared" si="3"/>
        <v>0</v>
      </c>
      <c r="M32" s="37"/>
    </row>
    <row r="33" spans="1:13">
      <c r="A33" s="33"/>
      <c r="B33" s="34"/>
      <c r="C33" s="1" t="s">
        <v>36</v>
      </c>
      <c r="D33" s="41"/>
      <c r="E33">
        <v>0</v>
      </c>
      <c r="F33" t="s">
        <v>34</v>
      </c>
      <c r="G33" s="38">
        <v>1</v>
      </c>
      <c r="H33" t="s">
        <v>28</v>
      </c>
      <c r="I33" s="42">
        <v>0</v>
      </c>
      <c r="K33" s="31" t="s">
        <v>29</v>
      </c>
      <c r="L33" s="40">
        <f t="shared" si="3"/>
        <v>0</v>
      </c>
      <c r="M33" s="30"/>
    </row>
    <row r="34" spans="1:13">
      <c r="A34" s="33"/>
      <c r="B34" s="34">
        <v>4</v>
      </c>
      <c r="C34" s="34" t="s">
        <v>39</v>
      </c>
      <c r="D34" s="41"/>
      <c r="G34" s="38" t="s">
        <v>38</v>
      </c>
      <c r="I34" s="42"/>
      <c r="J34" s="1" t="s">
        <v>10</v>
      </c>
      <c r="K34" s="31"/>
      <c r="L34" s="40"/>
      <c r="M34" s="37"/>
    </row>
    <row r="35" spans="1:13">
      <c r="A35" s="33"/>
      <c r="B35" s="34"/>
      <c r="C35" s="1" t="s">
        <v>40</v>
      </c>
      <c r="D35" s="41"/>
      <c r="E35">
        <v>0</v>
      </c>
      <c r="F35" t="s">
        <v>34</v>
      </c>
      <c r="G35" s="38">
        <v>1</v>
      </c>
      <c r="H35" t="str">
        <f>+H36</f>
        <v>x Rp.</v>
      </c>
      <c r="I35" s="42">
        <v>0</v>
      </c>
      <c r="K35" s="31" t="str">
        <f>+K33</f>
        <v>Rp.</v>
      </c>
      <c r="L35" s="40">
        <f t="shared" ref="L35:L37" si="6">+E35*G35*I35</f>
        <v>0</v>
      </c>
      <c r="M35" s="45"/>
    </row>
    <row r="36" spans="1:13">
      <c r="A36" s="33"/>
      <c r="B36" s="34"/>
      <c r="C36" s="1" t="s">
        <v>41</v>
      </c>
      <c r="D36" s="41"/>
      <c r="E36">
        <v>0</v>
      </c>
      <c r="F36" t="s">
        <v>34</v>
      </c>
      <c r="G36" s="38">
        <v>1</v>
      </c>
      <c r="H36" t="str">
        <f>+H33</f>
        <v>x Rp.</v>
      </c>
      <c r="I36" s="42">
        <v>0</v>
      </c>
      <c r="K36" s="31" t="str">
        <f t="shared" ref="K36:K41" si="7">+K35</f>
        <v>Rp.</v>
      </c>
      <c r="L36" s="40">
        <f t="shared" si="6"/>
        <v>0</v>
      </c>
      <c r="M36" s="39"/>
    </row>
    <row r="37" spans="1:13">
      <c r="A37" s="33"/>
      <c r="B37" s="34"/>
      <c r="C37" s="1" t="s">
        <v>42</v>
      </c>
      <c r="D37" s="41"/>
      <c r="E37">
        <v>0</v>
      </c>
      <c r="F37" t="s">
        <v>34</v>
      </c>
      <c r="G37" s="38">
        <v>1</v>
      </c>
      <c r="H37" t="str">
        <f t="shared" ref="H37:K37" si="8">+H36</f>
        <v>x Rp.</v>
      </c>
      <c r="I37" s="42">
        <v>0</v>
      </c>
      <c r="K37" s="31" t="str">
        <f t="shared" si="8"/>
        <v>Rp.</v>
      </c>
      <c r="L37" s="40">
        <f t="shared" si="6"/>
        <v>0</v>
      </c>
      <c r="M37" s="37"/>
    </row>
    <row r="38" spans="1:13">
      <c r="A38" s="33"/>
      <c r="B38" s="34">
        <v>5</v>
      </c>
      <c r="C38" s="34" t="s">
        <v>43</v>
      </c>
      <c r="D38" s="41"/>
      <c r="G38" s="38" t="s">
        <v>38</v>
      </c>
      <c r="I38" s="42"/>
      <c r="J38" s="1" t="s">
        <v>10</v>
      </c>
      <c r="K38" s="31"/>
      <c r="L38" s="40"/>
      <c r="M38" s="37"/>
    </row>
    <row r="39" spans="1:13">
      <c r="A39" s="33"/>
      <c r="B39" s="34"/>
      <c r="C39" s="1" t="s">
        <v>44</v>
      </c>
      <c r="D39" s="41"/>
      <c r="E39">
        <v>0</v>
      </c>
      <c r="F39" t="str">
        <f>+F40</f>
        <v>hari x</v>
      </c>
      <c r="G39" s="38">
        <v>1</v>
      </c>
      <c r="H39" t="str">
        <f>+H40</f>
        <v>x Rp.</v>
      </c>
      <c r="I39" s="42">
        <v>0</v>
      </c>
      <c r="K39" s="31" t="str">
        <f>+K37</f>
        <v>Rp.</v>
      </c>
      <c r="L39" s="40">
        <f t="shared" ref="L39:L41" si="9">+E39*G39*I39</f>
        <v>0</v>
      </c>
      <c r="M39" s="45"/>
    </row>
    <row r="40" spans="1:13">
      <c r="A40" s="33"/>
      <c r="B40" s="34"/>
      <c r="C40" s="1" t="s">
        <v>45</v>
      </c>
      <c r="D40" s="41"/>
      <c r="E40">
        <v>0</v>
      </c>
      <c r="F40" t="str">
        <f>+F37</f>
        <v>hari x</v>
      </c>
      <c r="G40" s="38">
        <v>1</v>
      </c>
      <c r="H40" t="str">
        <f>+H37</f>
        <v>x Rp.</v>
      </c>
      <c r="I40" s="42">
        <v>0</v>
      </c>
      <c r="K40" s="31" t="str">
        <f t="shared" si="7"/>
        <v>Rp.</v>
      </c>
      <c r="L40" s="40">
        <f t="shared" si="9"/>
        <v>0</v>
      </c>
      <c r="M40" s="39"/>
    </row>
    <row r="41" spans="1:13">
      <c r="A41" s="33"/>
      <c r="B41" s="34">
        <v>6</v>
      </c>
      <c r="C41" s="34" t="s">
        <v>46</v>
      </c>
      <c r="D41" s="41"/>
      <c r="E41">
        <v>0</v>
      </c>
      <c r="F41" t="s">
        <v>47</v>
      </c>
      <c r="G41" s="38">
        <v>1</v>
      </c>
      <c r="H41" t="str">
        <f>+H39</f>
        <v>x Rp.</v>
      </c>
      <c r="I41" s="42">
        <v>0</v>
      </c>
      <c r="K41" s="31" t="str">
        <f t="shared" si="7"/>
        <v>Rp.</v>
      </c>
      <c r="L41" s="40">
        <f t="shared" si="9"/>
        <v>0</v>
      </c>
      <c r="M41" s="37"/>
    </row>
    <row r="42" spans="1:13">
      <c r="A42" s="33"/>
      <c r="B42" s="34"/>
      <c r="D42" s="41"/>
      <c r="G42" s="38"/>
      <c r="I42" s="42"/>
      <c r="K42" s="31"/>
      <c r="L42" s="40"/>
      <c r="M42" s="30"/>
    </row>
    <row r="43" spans="1:13">
      <c r="A43" s="33"/>
      <c r="C43" s="1" t="s">
        <v>10</v>
      </c>
      <c r="D43" t="s">
        <v>10</v>
      </c>
      <c r="K43" s="31"/>
      <c r="L43" s="40"/>
      <c r="M43" s="30"/>
    </row>
    <row r="44" spans="1:13">
      <c r="A44" s="33"/>
      <c r="B44" s="34" t="s">
        <v>48</v>
      </c>
      <c r="E44" t="s">
        <v>10</v>
      </c>
      <c r="K44" s="31" t="s">
        <v>29</v>
      </c>
      <c r="L44" s="46">
        <f>SUM(L23:L41)</f>
        <v>430000</v>
      </c>
      <c r="M44" s="30"/>
    </row>
    <row r="45" spans="1:13">
      <c r="A45" s="33"/>
      <c r="D45" t="s">
        <v>10</v>
      </c>
      <c r="E45" t="s">
        <v>10</v>
      </c>
      <c r="J45" t="s">
        <v>10</v>
      </c>
      <c r="K45" s="31" t="s">
        <v>10</v>
      </c>
      <c r="L45" s="40"/>
      <c r="M45" s="30"/>
    </row>
    <row r="46" spans="1:13">
      <c r="A46" s="33" t="s">
        <v>49</v>
      </c>
      <c r="B46" s="34" t="s">
        <v>50</v>
      </c>
      <c r="K46" s="31"/>
      <c r="L46" s="40"/>
      <c r="M46" s="30"/>
    </row>
    <row r="47" spans="1:13">
      <c r="A47" s="33"/>
      <c r="B47" s="34">
        <v>1</v>
      </c>
      <c r="C47" s="34" t="s">
        <v>51</v>
      </c>
      <c r="K47" s="31"/>
      <c r="L47" s="40"/>
      <c r="M47" s="30"/>
    </row>
    <row r="48" spans="1:13">
      <c r="A48" s="33"/>
      <c r="C48" s="1" t="s">
        <v>52</v>
      </c>
      <c r="K48" s="31" t="s">
        <v>29</v>
      </c>
      <c r="L48" s="40">
        <v>0</v>
      </c>
      <c r="M48" s="30"/>
    </row>
    <row r="49" spans="1:13">
      <c r="A49" s="33"/>
      <c r="C49" s="1" t="s">
        <v>53</v>
      </c>
      <c r="K49" s="31" t="s">
        <v>29</v>
      </c>
      <c r="L49" s="40">
        <v>0</v>
      </c>
      <c r="M49" s="30"/>
    </row>
    <row r="50" spans="1:13">
      <c r="A50" s="33"/>
      <c r="C50" s="1" t="s">
        <v>54</v>
      </c>
      <c r="K50" s="31" t="s">
        <v>29</v>
      </c>
      <c r="L50" s="40">
        <v>0</v>
      </c>
      <c r="M50" s="30"/>
    </row>
    <row r="51" spans="1:13">
      <c r="A51" s="33"/>
      <c r="K51" s="31" t="s">
        <v>29</v>
      </c>
      <c r="L51" s="40">
        <v>0</v>
      </c>
      <c r="M51" s="30"/>
    </row>
    <row r="52" spans="1:13">
      <c r="A52" s="33"/>
      <c r="B52" s="34">
        <v>2</v>
      </c>
      <c r="C52" s="34" t="s">
        <v>55</v>
      </c>
      <c r="K52" s="31"/>
      <c r="L52" s="40"/>
      <c r="M52" s="30"/>
    </row>
    <row r="53" spans="1:13">
      <c r="A53" s="33"/>
      <c r="C53" s="1" t="s">
        <v>56</v>
      </c>
      <c r="D53" t="s">
        <v>57</v>
      </c>
      <c r="E53" t="s">
        <v>58</v>
      </c>
      <c r="F53" t="s">
        <v>34</v>
      </c>
      <c r="H53" t="s">
        <v>59</v>
      </c>
      <c r="I53" t="s">
        <v>60</v>
      </c>
      <c r="K53" s="31" t="s">
        <v>29</v>
      </c>
      <c r="L53" s="40">
        <v>0</v>
      </c>
      <c r="M53" s="30"/>
    </row>
    <row r="54" spans="1:13">
      <c r="A54" s="33"/>
      <c r="C54" s="1" t="s">
        <v>61</v>
      </c>
      <c r="K54" s="31"/>
      <c r="L54" s="40"/>
      <c r="M54" s="30"/>
    </row>
    <row r="55" spans="1:13">
      <c r="A55" s="33"/>
      <c r="B55" s="34">
        <v>3</v>
      </c>
      <c r="C55" s="1" t="s">
        <v>62</v>
      </c>
      <c r="K55" s="31"/>
      <c r="L55" s="40"/>
      <c r="M55" s="30"/>
    </row>
    <row r="56" spans="1:13">
      <c r="A56" s="33"/>
      <c r="B56" s="34"/>
      <c r="C56" s="1" t="s">
        <v>40</v>
      </c>
      <c r="E56">
        <v>0</v>
      </c>
      <c r="F56" t="str">
        <f>+F39</f>
        <v>hari x</v>
      </c>
      <c r="G56" s="38">
        <v>1</v>
      </c>
      <c r="H56">
        <f>+H57</f>
        <v>0</v>
      </c>
      <c r="I56" s="42">
        <v>0</v>
      </c>
      <c r="K56" s="31" t="str">
        <f>+K53</f>
        <v>Rp.</v>
      </c>
      <c r="L56" s="40">
        <f t="shared" ref="L56:L58" si="10">+E56*G56*I56</f>
        <v>0</v>
      </c>
      <c r="M56" s="30"/>
    </row>
    <row r="57" spans="1:13">
      <c r="A57" s="33"/>
      <c r="B57" s="34"/>
      <c r="C57" s="1" t="s">
        <v>41</v>
      </c>
      <c r="E57">
        <v>0</v>
      </c>
      <c r="F57" t="str">
        <f>+F56</f>
        <v>hari x</v>
      </c>
      <c r="G57" s="38">
        <v>1</v>
      </c>
      <c r="H57">
        <f>+H54</f>
        <v>0</v>
      </c>
      <c r="I57" s="42">
        <v>0</v>
      </c>
      <c r="K57" s="31" t="str">
        <f>+K56</f>
        <v>Rp.</v>
      </c>
      <c r="L57" s="40">
        <f t="shared" si="10"/>
        <v>0</v>
      </c>
      <c r="M57" s="30"/>
    </row>
    <row r="58" spans="1:13">
      <c r="A58" s="33"/>
      <c r="B58" s="34"/>
      <c r="C58" s="1" t="s">
        <v>42</v>
      </c>
      <c r="E58">
        <v>0</v>
      </c>
      <c r="F58" t="str">
        <f t="shared" ref="F58:K58" si="11">+F57</f>
        <v>hari x</v>
      </c>
      <c r="G58" s="38">
        <v>0.5</v>
      </c>
      <c r="H58">
        <f t="shared" si="11"/>
        <v>0</v>
      </c>
      <c r="I58" s="42">
        <v>0</v>
      </c>
      <c r="K58" s="31" t="str">
        <f t="shared" si="11"/>
        <v>Rp.</v>
      </c>
      <c r="L58" s="40">
        <f t="shared" si="10"/>
        <v>0</v>
      </c>
      <c r="M58" s="30"/>
    </row>
    <row r="59" spans="1:13">
      <c r="A59" s="33"/>
      <c r="B59">
        <v>4</v>
      </c>
      <c r="C59" s="1" t="s">
        <v>63</v>
      </c>
      <c r="G59" s="41"/>
      <c r="I59" s="1" t="s">
        <v>10</v>
      </c>
      <c r="K59" s="31"/>
      <c r="L59" s="40"/>
      <c r="M59" s="30"/>
    </row>
    <row r="60" spans="1:13">
      <c r="A60" s="33"/>
      <c r="K60" s="31"/>
      <c r="L60" s="40"/>
      <c r="M60" s="30"/>
    </row>
    <row r="61" spans="1:13">
      <c r="A61" s="33"/>
      <c r="B61" s="34" t="s">
        <v>64</v>
      </c>
      <c r="C61" s="34"/>
      <c r="K61" s="31" t="s">
        <v>29</v>
      </c>
      <c r="L61" s="46">
        <f>SUM(L48:L60)</f>
        <v>0</v>
      </c>
      <c r="M61" s="30"/>
    </row>
    <row r="62" spans="1:13">
      <c r="A62" s="33"/>
      <c r="K62" s="31"/>
      <c r="L62" s="40"/>
      <c r="M62" s="30"/>
    </row>
    <row r="63" ht="15.15" spans="1:13">
      <c r="A63" s="33" t="s">
        <v>65</v>
      </c>
      <c r="B63" s="34" t="s">
        <v>66</v>
      </c>
      <c r="C63" s="34"/>
      <c r="K63" s="31" t="s">
        <v>29</v>
      </c>
      <c r="L63" s="46">
        <f>L61+L44</f>
        <v>430000</v>
      </c>
      <c r="M63" s="47"/>
    </row>
    <row r="64" spans="1:13">
      <c r="A64" s="30"/>
      <c r="G64" t="s">
        <v>10</v>
      </c>
      <c r="K64" s="48"/>
      <c r="L64" s="49"/>
      <c r="M64" s="47"/>
    </row>
    <row r="65" spans="1:13">
      <c r="A65" s="50"/>
      <c r="B65" s="51"/>
      <c r="C65" s="52"/>
      <c r="D65" s="52"/>
      <c r="E65" s="52"/>
      <c r="F65" s="53"/>
      <c r="G65" s="53"/>
      <c r="H65" s="53"/>
      <c r="I65" s="53"/>
      <c r="J65" s="54"/>
      <c r="K65" s="55"/>
      <c r="L65" s="54"/>
      <c r="M65" s="56"/>
    </row>
    <row r="66" spans="1:13">
      <c r="B66" t="s">
        <v>10</v>
      </c>
      <c r="K66" s="57"/>
      <c r="L66" s="57"/>
      <c r="M66" s="57"/>
    </row>
    <row r="67" spans="1:13">
      <c r="A67" t="s">
        <v>67</v>
      </c>
      <c r="H67" t="s">
        <v>68</v>
      </c>
    </row>
    <row r="68" spans="1:13">
      <c r="B68">
        <v>1</v>
      </c>
      <c r="C68" s="34" t="s">
        <v>29</v>
      </c>
      <c r="D68" s="34"/>
      <c r="E68" s="58">
        <f>+L63</f>
        <v>430000</v>
      </c>
      <c r="H68">
        <v>1</v>
      </c>
      <c r="I68" s="34" t="s">
        <v>29</v>
      </c>
      <c r="L68" s="59">
        <f>+L63</f>
        <v>430000</v>
      </c>
    </row>
    <row r="69" spans="1:13">
      <c r="A69" s="60"/>
      <c r="C69" s="34"/>
      <c r="I69" s="34"/>
    </row>
    <row r="70" spans="1:13">
      <c r="G70" t="s">
        <v>10</v>
      </c>
    </row>
    <row r="71" spans="1:13">
      <c r="B71" s="61" t="s">
        <v>69</v>
      </c>
      <c r="C71" s="61"/>
      <c r="H71" s="62" t="s">
        <v>117</v>
      </c>
      <c r="I71" s="62"/>
      <c r="J71" s="62"/>
      <c r="K71" s="62"/>
      <c r="L71" s="62"/>
    </row>
    <row r="72" spans="1:13">
      <c r="H72" s="63"/>
      <c r="I72" s="63"/>
      <c r="J72" s="63"/>
      <c r="K72" s="63"/>
      <c r="L72" s="63"/>
    </row>
    <row r="73" spans="1:13">
      <c r="H73" s="63"/>
      <c r="I73" s="63"/>
      <c r="J73" s="63"/>
      <c r="K73" s="63"/>
      <c r="L73" s="63"/>
    </row>
    <row r="74" spans="1:13">
      <c r="H74" s="63"/>
      <c r="I74" s="63"/>
      <c r="J74" s="63"/>
      <c r="K74" s="63"/>
      <c r="L74" s="63"/>
    </row>
    <row r="75" spans="1:13">
      <c r="B75" s="61" t="s">
        <v>71</v>
      </c>
      <c r="C75" s="61"/>
      <c r="H75" s="62" t="str">
        <f>E15</f>
        <v>FAIZAL AMIRUDDIN</v>
      </c>
      <c r="I75" s="62"/>
      <c r="J75" s="62"/>
      <c r="K75" s="62"/>
      <c r="L75" s="62"/>
    </row>
    <row r="76" ht="16.2" spans="1:13">
      <c r="A76" s="2"/>
      <c r="B76" s="3"/>
      <c r="C76" s="4"/>
      <c r="D76" s="4"/>
      <c r="E76" s="4"/>
      <c r="F76" s="2"/>
      <c r="G76" s="2"/>
      <c r="H76" s="2"/>
      <c r="I76" s="3"/>
      <c r="J76" s="3"/>
      <c r="K76" s="3"/>
      <c r="L76" s="3"/>
      <c r="M76" s="3"/>
    </row>
    <row r="77" ht="16.2" spans="1:13">
      <c r="A77" s="2"/>
      <c r="B77" s="5"/>
      <c r="C77" s="4"/>
      <c r="D77" s="4"/>
      <c r="E77" s="4"/>
      <c r="F77" s="2"/>
      <c r="G77" s="2"/>
      <c r="H77" s="2"/>
      <c r="I77" s="3"/>
      <c r="J77" s="3"/>
      <c r="K77" s="3"/>
      <c r="L77" s="3"/>
      <c r="M77" s="3"/>
    </row>
    <row r="78" ht="16.2" spans="1:13">
      <c r="A78" s="2"/>
      <c r="B78" s="5"/>
      <c r="C78" s="6"/>
      <c r="D78" s="3"/>
      <c r="E78" s="2"/>
      <c r="F78" s="2"/>
      <c r="G78" s="2"/>
      <c r="H78" s="2"/>
      <c r="I78" s="3"/>
      <c r="J78" s="3"/>
      <c r="K78" s="3"/>
      <c r="L78" s="3"/>
      <c r="M78" s="3"/>
    </row>
    <row r="79" ht="15.6" spans="1:13">
      <c r="A79" s="7"/>
      <c r="B79" s="8"/>
      <c r="C79" s="7"/>
      <c r="D79" s="9"/>
      <c r="E79" s="9"/>
      <c r="F79" s="10"/>
      <c r="G79" s="10"/>
      <c r="H79" s="9"/>
      <c r="I79" s="10"/>
      <c r="J79" s="10"/>
      <c r="K79" s="11"/>
      <c r="L79" s="7"/>
      <c r="M79" s="3"/>
    </row>
    <row r="80" ht="15.6" spans="1:13">
      <c r="A80" s="12"/>
      <c r="B80" s="13"/>
      <c r="C80" s="7"/>
      <c r="D80" s="9"/>
      <c r="E80" s="9"/>
      <c r="F80" s="10"/>
      <c r="G80" s="10"/>
      <c r="H80" s="9"/>
      <c r="I80" s="10"/>
      <c r="J80" s="10"/>
      <c r="K80" s="7"/>
      <c r="L80" s="73" t="s">
        <v>0</v>
      </c>
      <c r="M80" s="3"/>
    </row>
    <row r="81" ht="16.2" spans="1:17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</row>
    <row r="82" ht="15.6" spans="1:17">
      <c r="A82" s="14" t="s">
        <v>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4" ht="15" spans="1:17">
      <c r="C84" s="1" t="s">
        <v>2</v>
      </c>
      <c r="D84" t="s">
        <v>3</v>
      </c>
      <c r="E84" s="15"/>
    </row>
    <row r="85" spans="1:17">
      <c r="C85" s="1" t="s">
        <v>4</v>
      </c>
      <c r="D85" t="s">
        <v>3</v>
      </c>
      <c r="E85" s="16">
        <v>44750</v>
      </c>
      <c r="F85" s="17" t="s">
        <v>5</v>
      </c>
      <c r="G85" s="18">
        <v>44750</v>
      </c>
      <c r="H85" s="18"/>
    </row>
    <row r="86" ht="15" spans="1:17">
      <c r="C86" s="1" t="s">
        <v>6</v>
      </c>
      <c r="D86" t="s">
        <v>3</v>
      </c>
      <c r="E86" s="15" t="s">
        <v>113</v>
      </c>
    </row>
    <row r="87" ht="15" customHeight="1" spans="1:17">
      <c r="C87" s="19" t="s">
        <v>8</v>
      </c>
      <c r="D87" t="s">
        <v>3</v>
      </c>
      <c r="E87" s="20" t="s">
        <v>114</v>
      </c>
      <c r="F87" s="20"/>
      <c r="G87" s="20"/>
      <c r="H87" s="20"/>
      <c r="I87" s="20"/>
      <c r="J87" s="20"/>
      <c r="K87" s="20"/>
      <c r="L87" s="20"/>
      <c r="M87" s="20"/>
    </row>
    <row r="88" spans="1:17">
      <c r="C88"/>
      <c r="E88" s="20"/>
      <c r="F88" s="20"/>
      <c r="G88" s="20"/>
      <c r="H88" s="20"/>
      <c r="I88" s="20"/>
      <c r="J88" s="20"/>
      <c r="K88" s="20"/>
      <c r="L88" s="20"/>
      <c r="M88" s="20"/>
    </row>
    <row r="89" spans="1:17">
      <c r="C89" s="1" t="s">
        <v>11</v>
      </c>
      <c r="D89" t="s">
        <v>3</v>
      </c>
      <c r="E89" s="21" t="s">
        <v>13</v>
      </c>
      <c r="F89" s="16"/>
      <c r="G89" s="17"/>
      <c r="H89" s="18"/>
      <c r="I89" s="18"/>
      <c r="N89" s="21" t="s">
        <v>13</v>
      </c>
      <c r="O89" s="21" t="s">
        <v>14</v>
      </c>
      <c r="P89" s="21" t="s">
        <v>12</v>
      </c>
      <c r="Q89" s="21" t="s">
        <v>15</v>
      </c>
    </row>
    <row r="90" ht="15.6" spans="1:17">
      <c r="C90" s="1" t="s">
        <v>16</v>
      </c>
      <c r="D90" t="s">
        <v>3</v>
      </c>
      <c r="E90" s="22" t="s">
        <v>118</v>
      </c>
      <c r="F90" s="22"/>
      <c r="G90" s="22"/>
      <c r="H90" s="22"/>
      <c r="I90" s="22"/>
    </row>
    <row r="91" ht="15.6" spans="1:17">
      <c r="C91" s="1" t="s">
        <v>18</v>
      </c>
      <c r="D91" t="s">
        <v>3</v>
      </c>
      <c r="E91" s="23" t="s">
        <v>119</v>
      </c>
      <c r="F91" s="24"/>
    </row>
    <row r="92" spans="1:17">
      <c r="E92" s="24"/>
    </row>
    <row r="93" spans="1:17">
      <c r="A93" s="25" t="s">
        <v>20</v>
      </c>
      <c r="B93" s="26" t="s">
        <v>21</v>
      </c>
      <c r="C93" s="27"/>
      <c r="D93" s="27"/>
      <c r="E93" s="27"/>
      <c r="F93" s="27"/>
      <c r="G93" s="27"/>
      <c r="H93" s="27"/>
      <c r="I93" s="27"/>
      <c r="J93" s="28"/>
      <c r="K93" s="26" t="s">
        <v>22</v>
      </c>
      <c r="L93" s="28"/>
      <c r="M93" s="29" t="s">
        <v>23</v>
      </c>
    </row>
    <row r="94" spans="1:17">
      <c r="A94" s="30"/>
      <c r="K94" s="31"/>
      <c r="L94" s="32"/>
      <c r="M94" s="30"/>
    </row>
    <row r="95" spans="1:17">
      <c r="A95" s="33" t="s">
        <v>24</v>
      </c>
      <c r="B95" t="s">
        <v>25</v>
      </c>
      <c r="K95" s="31"/>
      <c r="L95" s="32"/>
      <c r="M95" s="30"/>
    </row>
    <row r="96" spans="1:17">
      <c r="A96" s="33"/>
      <c r="K96" s="31"/>
      <c r="L96" s="32"/>
      <c r="M96" s="30"/>
    </row>
    <row r="97" spans="1:13">
      <c r="A97" s="33"/>
      <c r="B97" s="34">
        <v>1</v>
      </c>
      <c r="C97" s="34" t="s">
        <v>26</v>
      </c>
      <c r="K97" s="31"/>
      <c r="L97" s="32"/>
      <c r="M97" s="30"/>
    </row>
    <row r="98" spans="1:13">
      <c r="A98" s="33"/>
      <c r="B98" s="34"/>
      <c r="C98" s="1" t="s">
        <v>27</v>
      </c>
      <c r="G98">
        <v>0</v>
      </c>
      <c r="H98" s="1" t="s">
        <v>28</v>
      </c>
      <c r="I98" s="35">
        <v>0</v>
      </c>
      <c r="K98" s="31" t="s">
        <v>29</v>
      </c>
      <c r="L98" s="36">
        <f t="shared" ref="L98:L100" si="12">+I98*G98</f>
        <v>0</v>
      </c>
      <c r="M98" s="37"/>
    </row>
    <row r="99" spans="1:13">
      <c r="A99" s="33"/>
      <c r="B99" s="34"/>
      <c r="C99" s="1" t="s">
        <v>30</v>
      </c>
      <c r="G99">
        <v>0</v>
      </c>
      <c r="H99" t="s">
        <v>28</v>
      </c>
      <c r="I99" s="35">
        <v>0</v>
      </c>
      <c r="J99" s="38"/>
      <c r="K99" s="31" t="s">
        <v>29</v>
      </c>
      <c r="L99" s="36">
        <f t="shared" si="12"/>
        <v>0</v>
      </c>
      <c r="M99" s="39"/>
    </row>
    <row r="100" spans="1:13">
      <c r="A100" s="33"/>
      <c r="B100" s="34"/>
      <c r="C100" s="1" t="s">
        <v>31</v>
      </c>
      <c r="G100">
        <v>0</v>
      </c>
      <c r="H100" t="s">
        <v>28</v>
      </c>
      <c r="I100" s="35">
        <v>0</v>
      </c>
      <c r="K100" s="31" t="s">
        <v>29</v>
      </c>
      <c r="L100" s="36">
        <f t="shared" si="12"/>
        <v>0</v>
      </c>
      <c r="M100" s="37"/>
    </row>
    <row r="101" spans="1:13">
      <c r="A101" s="33"/>
      <c r="B101" s="34">
        <v>2</v>
      </c>
      <c r="C101" s="34" t="s">
        <v>32</v>
      </c>
      <c r="D101" s="34"/>
      <c r="K101" s="31"/>
      <c r="L101" s="40"/>
      <c r="M101" s="30"/>
    </row>
    <row r="102" spans="1:13">
      <c r="A102" s="33"/>
      <c r="B102" s="34"/>
      <c r="C102" s="1" t="s">
        <v>33</v>
      </c>
      <c r="D102" s="41"/>
      <c r="E102">
        <v>1</v>
      </c>
      <c r="F102" t="s">
        <v>34</v>
      </c>
      <c r="G102" s="38">
        <v>1</v>
      </c>
      <c r="H102" t="s">
        <v>28</v>
      </c>
      <c r="I102" s="42">
        <v>190000</v>
      </c>
      <c r="K102" s="31" t="s">
        <v>29</v>
      </c>
      <c r="L102" s="43">
        <f t="shared" ref="L102:L104" si="13">I102*G102*E102</f>
        <v>190000</v>
      </c>
      <c r="M102" s="37"/>
    </row>
    <row r="103" spans="1:13">
      <c r="A103" s="33"/>
      <c r="B103" s="34"/>
      <c r="C103" s="1" t="s">
        <v>35</v>
      </c>
      <c r="D103" s="41"/>
      <c r="E103">
        <v>0</v>
      </c>
      <c r="F103" t="s">
        <v>34</v>
      </c>
      <c r="G103" s="38">
        <v>1</v>
      </c>
      <c r="H103" t="str">
        <f t="shared" ref="H103:H104" si="14">+H102</f>
        <v>x Rp.</v>
      </c>
      <c r="I103" s="42">
        <v>50000</v>
      </c>
      <c r="K103" s="31" t="str">
        <f t="shared" ref="K103:K104" si="15">+K102</f>
        <v>Rp.</v>
      </c>
      <c r="L103" s="43">
        <f t="shared" si="13"/>
        <v>0</v>
      </c>
      <c r="M103" s="37"/>
    </row>
    <row r="104" spans="1:13">
      <c r="A104" s="33"/>
      <c r="B104" s="34"/>
      <c r="C104" s="1" t="s">
        <v>36</v>
      </c>
      <c r="D104" s="41"/>
      <c r="E104">
        <v>0</v>
      </c>
      <c r="F104" t="s">
        <v>34</v>
      </c>
      <c r="G104" s="38">
        <v>1</v>
      </c>
      <c r="H104" t="str">
        <f t="shared" si="14"/>
        <v>x Rp.</v>
      </c>
      <c r="I104" s="42">
        <v>250000</v>
      </c>
      <c r="K104" s="31" t="str">
        <f t="shared" si="15"/>
        <v>Rp.</v>
      </c>
      <c r="L104" s="43">
        <f t="shared" si="13"/>
        <v>0</v>
      </c>
      <c r="M104" s="44"/>
    </row>
    <row r="105" spans="1:13">
      <c r="A105" s="33"/>
      <c r="B105" s="34">
        <v>3</v>
      </c>
      <c r="C105" s="34" t="s">
        <v>37</v>
      </c>
      <c r="D105" s="41"/>
      <c r="G105" s="38" t="s">
        <v>38</v>
      </c>
      <c r="I105" s="42"/>
      <c r="J105" s="1" t="s">
        <v>10</v>
      </c>
      <c r="K105" s="31"/>
      <c r="L105" s="40"/>
      <c r="M105" s="37"/>
    </row>
    <row r="106" spans="1:13">
      <c r="A106" s="33"/>
      <c r="B106" s="34"/>
      <c r="C106" s="1" t="s">
        <v>33</v>
      </c>
      <c r="D106" s="41"/>
      <c r="E106">
        <v>0</v>
      </c>
      <c r="F106" t="s">
        <v>34</v>
      </c>
      <c r="G106" s="38">
        <v>1</v>
      </c>
      <c r="H106" t="str">
        <f>+H104</f>
        <v>x Rp.</v>
      </c>
      <c r="I106" s="42">
        <v>0</v>
      </c>
      <c r="K106" s="31" t="s">
        <v>29</v>
      </c>
      <c r="L106" s="40">
        <f t="shared" ref="L106:L108" si="16">+E106*G106*I106</f>
        <v>0</v>
      </c>
      <c r="M106" s="39"/>
    </row>
    <row r="107" spans="1:13">
      <c r="A107" s="33"/>
      <c r="B107" s="34"/>
      <c r="C107" s="1" t="s">
        <v>35</v>
      </c>
      <c r="D107" s="41"/>
      <c r="E107">
        <v>0</v>
      </c>
      <c r="F107" t="s">
        <v>34</v>
      </c>
      <c r="G107" s="38">
        <v>1</v>
      </c>
      <c r="H107" t="str">
        <f t="shared" ref="H107" si="17">+H106</f>
        <v>x Rp.</v>
      </c>
      <c r="I107" s="42">
        <v>0</v>
      </c>
      <c r="K107" s="31" t="str">
        <f t="shared" ref="K107" si="18">+K106</f>
        <v>Rp.</v>
      </c>
      <c r="L107" s="40">
        <f t="shared" si="16"/>
        <v>0</v>
      </c>
      <c r="M107" s="37"/>
    </row>
    <row r="108" spans="1:13">
      <c r="A108" s="33"/>
      <c r="B108" s="34"/>
      <c r="C108" s="1" t="s">
        <v>36</v>
      </c>
      <c r="D108" s="41"/>
      <c r="E108">
        <v>0</v>
      </c>
      <c r="F108" t="s">
        <v>34</v>
      </c>
      <c r="G108" s="38">
        <v>1</v>
      </c>
      <c r="H108" t="s">
        <v>28</v>
      </c>
      <c r="I108" s="42">
        <v>0</v>
      </c>
      <c r="K108" s="31" t="s">
        <v>29</v>
      </c>
      <c r="L108" s="40">
        <f t="shared" si="16"/>
        <v>0</v>
      </c>
      <c r="M108" s="30"/>
    </row>
    <row r="109" spans="1:13">
      <c r="A109" s="33"/>
      <c r="B109" s="34">
        <v>4</v>
      </c>
      <c r="C109" s="34" t="s">
        <v>39</v>
      </c>
      <c r="D109" s="41"/>
      <c r="G109" s="38" t="s">
        <v>38</v>
      </c>
      <c r="I109" s="42"/>
      <c r="J109" s="1" t="s">
        <v>10</v>
      </c>
      <c r="K109" s="31"/>
      <c r="L109" s="40"/>
      <c r="M109" s="37"/>
    </row>
    <row r="110" spans="1:13">
      <c r="A110" s="33"/>
      <c r="B110" s="34"/>
      <c r="C110" s="1" t="s">
        <v>40</v>
      </c>
      <c r="D110" s="41"/>
      <c r="E110">
        <v>0</v>
      </c>
      <c r="F110" t="s">
        <v>34</v>
      </c>
      <c r="G110" s="38">
        <v>1</v>
      </c>
      <c r="H110" t="str">
        <f>+H111</f>
        <v>x Rp.</v>
      </c>
      <c r="I110" s="42">
        <v>0</v>
      </c>
      <c r="K110" s="31" t="str">
        <f>+K108</f>
        <v>Rp.</v>
      </c>
      <c r="L110" s="40">
        <f t="shared" ref="L110:L112" si="19">+E110*G110*I110</f>
        <v>0</v>
      </c>
      <c r="M110" s="45"/>
    </row>
    <row r="111" spans="1:13">
      <c r="A111" s="33"/>
      <c r="B111" s="34"/>
      <c r="C111" s="1" t="s">
        <v>41</v>
      </c>
      <c r="D111" s="41"/>
      <c r="E111">
        <v>0</v>
      </c>
      <c r="F111" t="s">
        <v>34</v>
      </c>
      <c r="G111" s="38">
        <v>1</v>
      </c>
      <c r="H111" t="str">
        <f>+H108</f>
        <v>x Rp.</v>
      </c>
      <c r="I111" s="42">
        <v>0</v>
      </c>
      <c r="K111" s="31" t="str">
        <f t="shared" ref="K111:K116" si="20">+K110</f>
        <v>Rp.</v>
      </c>
      <c r="L111" s="40">
        <f t="shared" si="19"/>
        <v>0</v>
      </c>
      <c r="M111" s="39"/>
    </row>
    <row r="112" spans="1:13">
      <c r="A112" s="33"/>
      <c r="B112" s="34"/>
      <c r="C112" s="1" t="s">
        <v>42</v>
      </c>
      <c r="D112" s="41"/>
      <c r="E112">
        <v>0</v>
      </c>
      <c r="F112" t="s">
        <v>34</v>
      </c>
      <c r="G112" s="38">
        <v>1</v>
      </c>
      <c r="H112" t="str">
        <f t="shared" ref="H112" si="21">+H111</f>
        <v>x Rp.</v>
      </c>
      <c r="I112" s="42">
        <v>0</v>
      </c>
      <c r="K112" s="31" t="str">
        <f t="shared" si="20"/>
        <v>Rp.</v>
      </c>
      <c r="L112" s="40">
        <f t="shared" si="19"/>
        <v>0</v>
      </c>
      <c r="M112" s="37"/>
    </row>
    <row r="113" spans="1:13">
      <c r="A113" s="33"/>
      <c r="B113" s="34">
        <v>5</v>
      </c>
      <c r="C113" s="34" t="s">
        <v>43</v>
      </c>
      <c r="D113" s="41"/>
      <c r="G113" s="38" t="s">
        <v>38</v>
      </c>
      <c r="I113" s="42"/>
      <c r="J113" s="1" t="s">
        <v>10</v>
      </c>
      <c r="K113" s="31"/>
      <c r="L113" s="40"/>
      <c r="M113" s="37"/>
    </row>
    <row r="114" spans="1:13">
      <c r="A114" s="33"/>
      <c r="B114" s="34"/>
      <c r="C114" s="1" t="s">
        <v>44</v>
      </c>
      <c r="D114" s="41"/>
      <c r="E114">
        <v>0</v>
      </c>
      <c r="F114" t="str">
        <f>+F115</f>
        <v>hari x</v>
      </c>
      <c r="G114" s="38">
        <v>1</v>
      </c>
      <c r="H114" t="str">
        <f>+H115</f>
        <v>x Rp.</v>
      </c>
      <c r="I114" s="42">
        <v>0</v>
      </c>
      <c r="K114" s="31" t="str">
        <f>+K112</f>
        <v>Rp.</v>
      </c>
      <c r="L114" s="40">
        <f t="shared" ref="L114:L116" si="22">+E114*G114*I114</f>
        <v>0</v>
      </c>
      <c r="M114" s="45"/>
    </row>
    <row r="115" spans="1:13">
      <c r="A115" s="33"/>
      <c r="B115" s="34"/>
      <c r="C115" s="1" t="s">
        <v>45</v>
      </c>
      <c r="D115" s="41"/>
      <c r="E115">
        <v>0</v>
      </c>
      <c r="F115" t="str">
        <f>+F112</f>
        <v>hari x</v>
      </c>
      <c r="G115" s="38">
        <v>1</v>
      </c>
      <c r="H115" t="str">
        <f>+H112</f>
        <v>x Rp.</v>
      </c>
      <c r="I115" s="42">
        <v>0</v>
      </c>
      <c r="K115" s="31" t="str">
        <f t="shared" si="20"/>
        <v>Rp.</v>
      </c>
      <c r="L115" s="40">
        <f t="shared" si="22"/>
        <v>0</v>
      </c>
      <c r="M115" s="39"/>
    </row>
    <row r="116" spans="1:13">
      <c r="A116" s="33"/>
      <c r="B116" s="34">
        <v>6</v>
      </c>
      <c r="C116" s="34" t="s">
        <v>46</v>
      </c>
      <c r="D116" s="41"/>
      <c r="E116">
        <v>0</v>
      </c>
      <c r="F116" t="s">
        <v>47</v>
      </c>
      <c r="G116" s="38">
        <v>1</v>
      </c>
      <c r="H116" t="str">
        <f>+H114</f>
        <v>x Rp.</v>
      </c>
      <c r="I116" s="42">
        <v>0</v>
      </c>
      <c r="K116" s="31" t="str">
        <f t="shared" si="20"/>
        <v>Rp.</v>
      </c>
      <c r="L116" s="40">
        <f t="shared" si="22"/>
        <v>0</v>
      </c>
      <c r="M116" s="37"/>
    </row>
    <row r="117" spans="1:13">
      <c r="A117" s="33"/>
      <c r="B117" s="34"/>
      <c r="D117" s="41"/>
      <c r="G117" s="38"/>
      <c r="I117" s="42"/>
      <c r="K117" s="31"/>
      <c r="L117" s="40"/>
      <c r="M117" s="30"/>
    </row>
    <row r="118" spans="1:13">
      <c r="A118" s="33"/>
      <c r="C118" s="1" t="s">
        <v>10</v>
      </c>
      <c r="D118" t="s">
        <v>10</v>
      </c>
      <c r="K118" s="31"/>
      <c r="L118" s="40"/>
      <c r="M118" s="30"/>
    </row>
    <row r="119" spans="1:13">
      <c r="A119" s="33"/>
      <c r="B119" s="34" t="s">
        <v>48</v>
      </c>
      <c r="E119" t="s">
        <v>10</v>
      </c>
      <c r="K119" s="31" t="s">
        <v>29</v>
      </c>
      <c r="L119" s="46">
        <f>SUM(L98:L116)</f>
        <v>190000</v>
      </c>
      <c r="M119" s="30"/>
    </row>
    <row r="120" spans="1:13">
      <c r="A120" s="33"/>
      <c r="D120" t="s">
        <v>10</v>
      </c>
      <c r="E120" t="s">
        <v>10</v>
      </c>
      <c r="J120" t="s">
        <v>10</v>
      </c>
      <c r="K120" s="31" t="s">
        <v>10</v>
      </c>
      <c r="L120" s="40"/>
      <c r="M120" s="30"/>
    </row>
    <row r="121" spans="1:13">
      <c r="A121" s="33" t="s">
        <v>49</v>
      </c>
      <c r="B121" s="34" t="s">
        <v>50</v>
      </c>
      <c r="K121" s="31"/>
      <c r="L121" s="40"/>
      <c r="M121" s="30"/>
    </row>
    <row r="122" spans="1:13">
      <c r="A122" s="33"/>
      <c r="B122" s="34">
        <v>1</v>
      </c>
      <c r="C122" s="34" t="s">
        <v>51</v>
      </c>
      <c r="K122" s="31"/>
      <c r="L122" s="40"/>
      <c r="M122" s="30"/>
    </row>
    <row r="123" spans="1:13">
      <c r="A123" s="33"/>
      <c r="C123" s="1" t="s">
        <v>52</v>
      </c>
      <c r="K123" s="31" t="s">
        <v>29</v>
      </c>
      <c r="L123" s="40">
        <v>0</v>
      </c>
      <c r="M123" s="30"/>
    </row>
    <row r="124" spans="1:13">
      <c r="A124" s="33"/>
      <c r="C124" s="1" t="s">
        <v>53</v>
      </c>
      <c r="K124" s="31" t="s">
        <v>29</v>
      </c>
      <c r="L124" s="40">
        <v>0</v>
      </c>
      <c r="M124" s="30"/>
    </row>
    <row r="125" spans="1:13">
      <c r="A125" s="33"/>
      <c r="C125" s="1" t="s">
        <v>54</v>
      </c>
      <c r="K125" s="31" t="s">
        <v>29</v>
      </c>
      <c r="L125" s="40">
        <v>0</v>
      </c>
      <c r="M125" s="30"/>
    </row>
    <row r="126" spans="1:13">
      <c r="A126" s="33"/>
      <c r="K126" s="31" t="s">
        <v>29</v>
      </c>
      <c r="L126" s="40">
        <v>0</v>
      </c>
      <c r="M126" s="30"/>
    </row>
    <row r="127" spans="1:13">
      <c r="A127" s="33"/>
      <c r="B127" s="34">
        <v>2</v>
      </c>
      <c r="C127" s="34" t="s">
        <v>55</v>
      </c>
      <c r="K127" s="31"/>
      <c r="L127" s="40"/>
      <c r="M127" s="30"/>
    </row>
    <row r="128" spans="1:13">
      <c r="A128" s="33"/>
      <c r="C128" s="1" t="s">
        <v>56</v>
      </c>
      <c r="D128" t="s">
        <v>57</v>
      </c>
      <c r="E128" t="s">
        <v>58</v>
      </c>
      <c r="F128" t="s">
        <v>34</v>
      </c>
      <c r="H128" t="s">
        <v>59</v>
      </c>
      <c r="I128" t="s">
        <v>60</v>
      </c>
      <c r="K128" s="31" t="s">
        <v>29</v>
      </c>
      <c r="L128" s="40">
        <v>0</v>
      </c>
      <c r="M128" s="30"/>
    </row>
    <row r="129" spans="1:13">
      <c r="A129" s="33"/>
      <c r="C129" s="1" t="s">
        <v>61</v>
      </c>
      <c r="K129" s="31"/>
      <c r="L129" s="40"/>
      <c r="M129" s="30"/>
    </row>
    <row r="130" spans="1:13">
      <c r="A130" s="33"/>
      <c r="B130" s="34">
        <v>3</v>
      </c>
      <c r="C130" s="1" t="s">
        <v>62</v>
      </c>
      <c r="K130" s="31"/>
      <c r="L130" s="40"/>
      <c r="M130" s="30"/>
    </row>
    <row r="131" spans="1:13">
      <c r="A131" s="33"/>
      <c r="B131" s="34"/>
      <c r="C131" s="1" t="s">
        <v>40</v>
      </c>
      <c r="E131">
        <v>0</v>
      </c>
      <c r="F131" t="str">
        <f>+F114</f>
        <v>hari x</v>
      </c>
      <c r="G131" s="38">
        <v>1</v>
      </c>
      <c r="H131">
        <f>+H132</f>
        <v>0</v>
      </c>
      <c r="I131" s="42">
        <v>0</v>
      </c>
      <c r="K131" s="31" t="str">
        <f>+K128</f>
        <v>Rp.</v>
      </c>
      <c r="L131" s="40">
        <f t="shared" ref="L131:L133" si="23">+E131*G131*I131</f>
        <v>0</v>
      </c>
      <c r="M131" s="30"/>
    </row>
    <row r="132" spans="1:13">
      <c r="A132" s="33"/>
      <c r="B132" s="34"/>
      <c r="C132" s="1" t="s">
        <v>41</v>
      </c>
      <c r="E132">
        <v>0</v>
      </c>
      <c r="F132" t="str">
        <f>+F131</f>
        <v>hari x</v>
      </c>
      <c r="G132" s="38">
        <v>1</v>
      </c>
      <c r="H132">
        <f>+H129</f>
        <v>0</v>
      </c>
      <c r="I132" s="42">
        <v>0</v>
      </c>
      <c r="K132" s="31" t="str">
        <f>+K131</f>
        <v>Rp.</v>
      </c>
      <c r="L132" s="40">
        <f t="shared" si="23"/>
        <v>0</v>
      </c>
      <c r="M132" s="30"/>
    </row>
    <row r="133" spans="1:13">
      <c r="A133" s="33"/>
      <c r="B133" s="34"/>
      <c r="C133" s="1" t="s">
        <v>42</v>
      </c>
      <c r="E133">
        <v>0</v>
      </c>
      <c r="F133" t="str">
        <f t="shared" ref="F133" si="24">+F132</f>
        <v>hari x</v>
      </c>
      <c r="G133" s="38">
        <v>0.5</v>
      </c>
      <c r="H133">
        <f t="shared" ref="H133" si="25">+H132</f>
        <v>0</v>
      </c>
      <c r="I133" s="42">
        <v>0</v>
      </c>
      <c r="K133" s="31" t="str">
        <f t="shared" ref="K133" si="26">+K132</f>
        <v>Rp.</v>
      </c>
      <c r="L133" s="40">
        <f t="shared" si="23"/>
        <v>0</v>
      </c>
      <c r="M133" s="30"/>
    </row>
    <row r="134" spans="1:13">
      <c r="A134" s="33"/>
      <c r="B134">
        <v>4</v>
      </c>
      <c r="C134" s="1" t="s">
        <v>63</v>
      </c>
      <c r="G134" s="41"/>
      <c r="I134" s="1" t="s">
        <v>10</v>
      </c>
      <c r="K134" s="31"/>
      <c r="L134" s="40"/>
      <c r="M134" s="30"/>
    </row>
    <row r="135" spans="1:13">
      <c r="A135" s="33"/>
      <c r="K135" s="31"/>
      <c r="L135" s="40"/>
      <c r="M135" s="30"/>
    </row>
    <row r="136" spans="1:13">
      <c r="A136" s="33"/>
      <c r="B136" s="34" t="s">
        <v>64</v>
      </c>
      <c r="C136" s="34"/>
      <c r="K136" s="31" t="s">
        <v>29</v>
      </c>
      <c r="L136" s="46">
        <f>SUM(L123:L135)</f>
        <v>0</v>
      </c>
      <c r="M136" s="30"/>
    </row>
    <row r="137" spans="1:13">
      <c r="A137" s="33"/>
      <c r="K137" s="31"/>
      <c r="L137" s="40"/>
      <c r="M137" s="30"/>
    </row>
    <row r="138" ht="15.15" spans="1:13">
      <c r="A138" s="33" t="s">
        <v>65</v>
      </c>
      <c r="B138" s="34" t="s">
        <v>66</v>
      </c>
      <c r="C138" s="34"/>
      <c r="K138" s="31" t="s">
        <v>29</v>
      </c>
      <c r="L138" s="46">
        <f>L136+L119</f>
        <v>190000</v>
      </c>
      <c r="M138" s="47"/>
    </row>
    <row r="139" spans="1:13">
      <c r="A139" s="30"/>
      <c r="G139" t="s">
        <v>10</v>
      </c>
      <c r="K139" s="48"/>
      <c r="L139" s="49"/>
      <c r="M139" s="47"/>
    </row>
    <row r="140" spans="1:13">
      <c r="A140" s="50"/>
      <c r="B140" s="51"/>
      <c r="C140" s="52"/>
      <c r="D140" s="52"/>
      <c r="E140" s="52"/>
      <c r="F140" s="53"/>
      <c r="G140" s="53"/>
      <c r="H140" s="53"/>
      <c r="I140" s="53"/>
      <c r="J140" s="54"/>
      <c r="K140" s="55"/>
      <c r="L140" s="54"/>
      <c r="M140" s="56"/>
    </row>
    <row r="141" spans="1:13">
      <c r="B141" t="s">
        <v>10</v>
      </c>
      <c r="K141" s="57"/>
      <c r="L141" s="57"/>
      <c r="M141" s="57"/>
    </row>
    <row r="142" spans="1:13">
      <c r="A142" t="s">
        <v>67</v>
      </c>
      <c r="H142" t="s">
        <v>68</v>
      </c>
    </row>
    <row r="143" spans="1:13">
      <c r="B143">
        <v>1</v>
      </c>
      <c r="C143" s="34" t="s">
        <v>29</v>
      </c>
      <c r="D143" s="34"/>
      <c r="E143" s="58">
        <f>+L138</f>
        <v>190000</v>
      </c>
      <c r="H143">
        <v>1</v>
      </c>
      <c r="I143" s="34" t="s">
        <v>29</v>
      </c>
      <c r="L143" s="59">
        <f>+L138</f>
        <v>190000</v>
      </c>
    </row>
    <row r="144" spans="1:13">
      <c r="A144" s="60"/>
      <c r="C144" s="34"/>
      <c r="I144" s="34"/>
    </row>
    <row r="145" spans="1:13">
      <c r="G145" t="s">
        <v>10</v>
      </c>
    </row>
    <row r="146" spans="1:13">
      <c r="B146" s="61" t="s">
        <v>69</v>
      </c>
      <c r="C146" s="61"/>
      <c r="H146" s="62" t="s">
        <v>120</v>
      </c>
      <c r="I146" s="62"/>
      <c r="J146" s="62"/>
      <c r="K146" s="62"/>
      <c r="L146" s="62"/>
    </row>
    <row r="147" spans="1:13">
      <c r="H147" s="63"/>
      <c r="I147" s="63"/>
      <c r="J147" s="63"/>
      <c r="K147" s="63"/>
      <c r="L147" s="63"/>
    </row>
    <row r="148" spans="1:13">
      <c r="H148" s="63"/>
      <c r="I148" s="63"/>
      <c r="J148" s="63"/>
      <c r="K148" s="63"/>
      <c r="L148" s="63"/>
    </row>
    <row r="149" spans="1:13">
      <c r="H149" s="63"/>
      <c r="I149" s="63"/>
      <c r="J149" s="63"/>
      <c r="K149" s="63"/>
      <c r="L149" s="63"/>
    </row>
    <row r="151" spans="1:13">
      <c r="B151" s="61" t="s">
        <v>71</v>
      </c>
      <c r="C151" s="61"/>
      <c r="H151" s="62" t="str">
        <f>E90</f>
        <v>TAHDIAR</v>
      </c>
      <c r="I151" s="62"/>
      <c r="J151" s="62"/>
      <c r="K151" s="62"/>
      <c r="L151" s="62"/>
    </row>
    <row r="152" ht="16.2" spans="1:13">
      <c r="A152" s="2"/>
      <c r="B152" s="3"/>
      <c r="C152" s="64"/>
      <c r="D152" s="64"/>
      <c r="E152" s="64"/>
      <c r="F152" s="2"/>
      <c r="G152" s="2"/>
      <c r="H152" s="2"/>
      <c r="I152" s="3"/>
      <c r="J152" s="3"/>
      <c r="K152" s="3"/>
      <c r="L152" s="3"/>
      <c r="M152" s="3"/>
    </row>
    <row r="153" ht="16.2" spans="1:13">
      <c r="A153" s="2"/>
      <c r="B153" s="5"/>
      <c r="C153" s="64"/>
      <c r="D153" s="64"/>
      <c r="E153" s="64"/>
      <c r="F153" s="2"/>
      <c r="G153" s="2"/>
      <c r="H153" s="2"/>
      <c r="I153" s="3"/>
      <c r="J153" s="3"/>
      <c r="K153" s="3"/>
      <c r="L153" s="3"/>
      <c r="M153" s="3"/>
    </row>
    <row r="154" ht="16.2" spans="1:13">
      <c r="A154" s="2"/>
      <c r="B154" s="5"/>
      <c r="C154" s="6"/>
      <c r="D154" s="3"/>
      <c r="E154" s="2"/>
      <c r="F154" s="2"/>
      <c r="G154" s="2"/>
      <c r="H154" s="2"/>
      <c r="I154" s="3"/>
      <c r="J154" s="3"/>
      <c r="K154" s="3"/>
      <c r="L154" s="3"/>
      <c r="M154" s="3"/>
    </row>
    <row r="155" ht="15.6" spans="1:13">
      <c r="A155" s="7"/>
      <c r="B155" s="8"/>
      <c r="C155" s="7"/>
      <c r="D155" s="9"/>
      <c r="E155" s="9"/>
      <c r="F155" s="10"/>
      <c r="G155" s="10"/>
      <c r="H155" s="9"/>
      <c r="I155" s="10"/>
      <c r="J155" s="10"/>
      <c r="K155" s="11"/>
      <c r="L155" s="7"/>
      <c r="M155" s="3"/>
    </row>
    <row r="156" ht="15.6" spans="1:13">
      <c r="A156" s="12"/>
      <c r="B156" s="13"/>
      <c r="C156" s="7"/>
      <c r="D156" s="9"/>
      <c r="E156" s="9"/>
      <c r="F156" s="10"/>
      <c r="G156" s="10"/>
      <c r="H156" s="9"/>
      <c r="I156" s="10"/>
      <c r="J156" s="10"/>
      <c r="K156" s="7"/>
      <c r="L156" s="73" t="s">
        <v>0</v>
      </c>
      <c r="M156" s="3"/>
    </row>
    <row r="157" ht="16.2" spans="1:13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</row>
    <row r="158" ht="15.6" spans="1:13">
      <c r="A158" s="14" t="s">
        <v>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60" ht="15" spans="1:13">
      <c r="C160" s="1" t="s">
        <v>2</v>
      </c>
      <c r="D160" t="s">
        <v>3</v>
      </c>
      <c r="E160" s="15"/>
    </row>
    <row r="161" spans="1:13">
      <c r="C161" s="1" t="s">
        <v>4</v>
      </c>
      <c r="D161" t="s">
        <v>3</v>
      </c>
      <c r="E161" s="16">
        <v>44629</v>
      </c>
      <c r="F161" s="17" t="s">
        <v>5</v>
      </c>
      <c r="G161" s="18">
        <v>44630</v>
      </c>
      <c r="H161" s="18"/>
    </row>
    <row r="162" ht="15" spans="1:13">
      <c r="C162" s="1" t="s">
        <v>6</v>
      </c>
      <c r="D162" t="s">
        <v>3</v>
      </c>
      <c r="E162" s="15" t="s">
        <v>121</v>
      </c>
    </row>
    <row r="163" ht="15" customHeight="1" spans="1:13">
      <c r="C163" s="19" t="s">
        <v>8</v>
      </c>
      <c r="D163" t="s">
        <v>3</v>
      </c>
      <c r="E163" s="20" t="s">
        <v>122</v>
      </c>
      <c r="F163" s="20"/>
      <c r="G163" s="20"/>
      <c r="H163" s="20"/>
      <c r="I163" s="20"/>
      <c r="J163" s="20"/>
      <c r="K163" s="20"/>
      <c r="L163" s="20"/>
      <c r="M163" s="20"/>
    </row>
    <row r="164" spans="1:13">
      <c r="C164"/>
      <c r="E164" s="20"/>
      <c r="F164" s="20"/>
      <c r="G164" s="20"/>
      <c r="H164" s="20"/>
      <c r="I164" s="20"/>
      <c r="J164" s="20"/>
      <c r="K164" s="20"/>
      <c r="L164" s="20"/>
      <c r="M164" s="20"/>
    </row>
    <row r="165" spans="1:13">
      <c r="C165" s="1" t="s">
        <v>11</v>
      </c>
      <c r="D165" t="s">
        <v>3</v>
      </c>
      <c r="E165" s="21" t="s">
        <v>123</v>
      </c>
      <c r="F165" s="16"/>
      <c r="G165" s="17"/>
      <c r="H165" s="18"/>
      <c r="I165" s="18"/>
    </row>
    <row r="166" ht="15.6" spans="1:13">
      <c r="C166" s="1" t="s">
        <v>16</v>
      </c>
      <c r="D166" t="s">
        <v>3</v>
      </c>
      <c r="E166" s="22" t="s">
        <v>124</v>
      </c>
      <c r="F166" s="22"/>
      <c r="G166" s="22"/>
      <c r="H166" s="22"/>
      <c r="I166" s="22"/>
    </row>
    <row r="167" ht="15.6" spans="1:13">
      <c r="C167" s="1" t="s">
        <v>18</v>
      </c>
      <c r="D167" t="s">
        <v>3</v>
      </c>
      <c r="E167" s="23" t="s">
        <v>125</v>
      </c>
      <c r="F167" s="24"/>
    </row>
    <row r="168" spans="1:13">
      <c r="E168" s="24"/>
    </row>
    <row r="169" spans="1:13">
      <c r="A169" s="25" t="s">
        <v>20</v>
      </c>
      <c r="B169" s="26" t="s">
        <v>21</v>
      </c>
      <c r="C169" s="27"/>
      <c r="D169" s="27"/>
      <c r="E169" s="27"/>
      <c r="F169" s="27"/>
      <c r="G169" s="27"/>
      <c r="H169" s="27"/>
      <c r="I169" s="27"/>
      <c r="J169" s="28"/>
      <c r="K169" s="26" t="s">
        <v>22</v>
      </c>
      <c r="L169" s="28"/>
      <c r="M169" s="29" t="s">
        <v>23</v>
      </c>
    </row>
    <row r="170" spans="1:13">
      <c r="A170" s="30"/>
      <c r="K170" s="31"/>
      <c r="L170" s="32"/>
      <c r="M170" s="30"/>
    </row>
    <row r="171" spans="1:13">
      <c r="A171" s="33" t="s">
        <v>24</v>
      </c>
      <c r="B171" t="s">
        <v>25</v>
      </c>
      <c r="K171" s="31"/>
      <c r="L171" s="32"/>
      <c r="M171" s="30"/>
    </row>
    <row r="172" spans="1:13">
      <c r="A172" s="33"/>
      <c r="K172" s="31"/>
      <c r="L172" s="32"/>
      <c r="M172" s="30"/>
    </row>
    <row r="173" spans="1:13">
      <c r="A173" s="33"/>
      <c r="B173" s="34">
        <v>1</v>
      </c>
      <c r="C173" s="34" t="s">
        <v>26</v>
      </c>
      <c r="K173" s="31"/>
      <c r="L173" s="32"/>
      <c r="M173" s="30"/>
    </row>
    <row r="174" spans="1:13">
      <c r="A174" s="33"/>
      <c r="B174" s="34"/>
      <c r="C174" s="1" t="s">
        <v>27</v>
      </c>
      <c r="G174">
        <v>0</v>
      </c>
      <c r="H174" s="1" t="s">
        <v>28</v>
      </c>
      <c r="I174" s="35">
        <v>0</v>
      </c>
      <c r="K174" s="31" t="s">
        <v>29</v>
      </c>
      <c r="L174" s="36">
        <f t="shared" ref="L174:L176" si="27">+I174*G174</f>
        <v>0</v>
      </c>
      <c r="M174" s="37"/>
    </row>
    <row r="175" spans="1:13">
      <c r="A175" s="33"/>
      <c r="B175" s="34"/>
      <c r="C175" s="1" t="s">
        <v>30</v>
      </c>
      <c r="G175">
        <v>0</v>
      </c>
      <c r="H175" t="s">
        <v>28</v>
      </c>
      <c r="I175" s="35">
        <v>0</v>
      </c>
      <c r="J175" s="38"/>
      <c r="K175" s="31" t="s">
        <v>29</v>
      </c>
      <c r="L175" s="36">
        <f t="shared" si="27"/>
        <v>0</v>
      </c>
      <c r="M175" s="39"/>
    </row>
    <row r="176" spans="1:13">
      <c r="A176" s="33"/>
      <c r="B176" s="34"/>
      <c r="C176" s="1" t="s">
        <v>31</v>
      </c>
      <c r="G176">
        <v>0</v>
      </c>
      <c r="H176" t="s">
        <v>28</v>
      </c>
      <c r="I176" s="35">
        <v>0</v>
      </c>
      <c r="K176" s="31" t="s">
        <v>29</v>
      </c>
      <c r="L176" s="36">
        <f t="shared" si="27"/>
        <v>0</v>
      </c>
      <c r="M176" s="37"/>
    </row>
    <row r="177" spans="1:13">
      <c r="A177" s="33"/>
      <c r="B177" s="34">
        <v>2</v>
      </c>
      <c r="C177" s="34" t="s">
        <v>32</v>
      </c>
      <c r="D177" s="34"/>
      <c r="K177" s="31"/>
      <c r="L177" s="40"/>
      <c r="M177" s="30"/>
    </row>
    <row r="178" spans="1:13">
      <c r="A178" s="33"/>
      <c r="B178" s="34"/>
      <c r="C178" s="1" t="s">
        <v>33</v>
      </c>
      <c r="D178" s="41"/>
      <c r="E178">
        <v>2</v>
      </c>
      <c r="F178" t="s">
        <v>34</v>
      </c>
      <c r="G178" s="38">
        <v>1</v>
      </c>
      <c r="H178" t="s">
        <v>28</v>
      </c>
      <c r="I178" s="42">
        <v>190000</v>
      </c>
      <c r="K178" s="31" t="s">
        <v>29</v>
      </c>
      <c r="L178" s="43">
        <f t="shared" ref="L178:L180" si="28">I178*G178*E178</f>
        <v>380000</v>
      </c>
      <c r="M178" s="37"/>
    </row>
    <row r="179" spans="1:13">
      <c r="A179" s="33"/>
      <c r="B179" s="34"/>
      <c r="C179" s="1" t="s">
        <v>35</v>
      </c>
      <c r="D179" s="41"/>
      <c r="E179">
        <v>1</v>
      </c>
      <c r="F179" t="s">
        <v>34</v>
      </c>
      <c r="G179" s="38">
        <v>1</v>
      </c>
      <c r="H179" t="str">
        <f t="shared" ref="H179:H180" si="29">+H178</f>
        <v>x Rp.</v>
      </c>
      <c r="I179" s="42">
        <v>50000</v>
      </c>
      <c r="K179" s="31" t="str">
        <f t="shared" ref="K179:K180" si="30">+K178</f>
        <v>Rp.</v>
      </c>
      <c r="L179" s="43">
        <f t="shared" si="28"/>
        <v>50000</v>
      </c>
      <c r="M179" s="37"/>
    </row>
    <row r="180" spans="1:13">
      <c r="A180" s="33"/>
      <c r="B180" s="34"/>
      <c r="C180" s="1" t="s">
        <v>36</v>
      </c>
      <c r="D180" s="41"/>
      <c r="E180">
        <v>1</v>
      </c>
      <c r="F180" t="s">
        <v>34</v>
      </c>
      <c r="G180" s="38">
        <v>1</v>
      </c>
      <c r="H180" t="str">
        <f t="shared" si="29"/>
        <v>x Rp.</v>
      </c>
      <c r="I180" s="42">
        <v>250000</v>
      </c>
      <c r="K180" s="31" t="str">
        <f t="shared" si="30"/>
        <v>Rp.</v>
      </c>
      <c r="L180" s="43">
        <f t="shared" si="28"/>
        <v>250000</v>
      </c>
      <c r="M180" s="44"/>
    </row>
    <row r="181" spans="1:13">
      <c r="A181" s="33"/>
      <c r="B181" s="34">
        <v>3</v>
      </c>
      <c r="C181" s="34" t="s">
        <v>37</v>
      </c>
      <c r="D181" s="41"/>
      <c r="G181" s="38" t="s">
        <v>38</v>
      </c>
      <c r="I181" s="42"/>
      <c r="J181" s="1" t="s">
        <v>10</v>
      </c>
      <c r="K181" s="31"/>
      <c r="L181" s="40"/>
      <c r="M181" s="37"/>
    </row>
    <row r="182" spans="1:13">
      <c r="A182" s="33"/>
      <c r="B182" s="34"/>
      <c r="C182" s="1" t="s">
        <v>33</v>
      </c>
      <c r="D182" s="41"/>
      <c r="E182">
        <v>0</v>
      </c>
      <c r="F182" t="s">
        <v>34</v>
      </c>
      <c r="G182" s="38">
        <v>1</v>
      </c>
      <c r="H182" t="str">
        <f>+H180</f>
        <v>x Rp.</v>
      </c>
      <c r="I182" s="42">
        <v>0</v>
      </c>
      <c r="K182" s="31" t="s">
        <v>29</v>
      </c>
      <c r="L182" s="40">
        <f t="shared" ref="L182:L184" si="31">+E182*G182*I182</f>
        <v>0</v>
      </c>
      <c r="M182" s="39"/>
    </row>
    <row r="183" spans="1:13">
      <c r="A183" s="33"/>
      <c r="B183" s="34"/>
      <c r="C183" s="1" t="s">
        <v>35</v>
      </c>
      <c r="D183" s="41"/>
      <c r="E183">
        <v>0</v>
      </c>
      <c r="F183" t="s">
        <v>34</v>
      </c>
      <c r="G183" s="38">
        <v>1</v>
      </c>
      <c r="H183" t="str">
        <f t="shared" ref="H183" si="32">+H182</f>
        <v>x Rp.</v>
      </c>
      <c r="I183" s="42">
        <v>0</v>
      </c>
      <c r="K183" s="31" t="str">
        <f t="shared" ref="K183" si="33">+K182</f>
        <v>Rp.</v>
      </c>
      <c r="L183" s="40">
        <f t="shared" si="31"/>
        <v>0</v>
      </c>
      <c r="M183" s="37"/>
    </row>
    <row r="184" spans="1:13">
      <c r="A184" s="33"/>
      <c r="B184" s="34"/>
      <c r="C184" s="1" t="s">
        <v>36</v>
      </c>
      <c r="D184" s="41"/>
      <c r="E184">
        <v>0</v>
      </c>
      <c r="F184" t="s">
        <v>34</v>
      </c>
      <c r="G184" s="38">
        <v>1</v>
      </c>
      <c r="H184" t="s">
        <v>28</v>
      </c>
      <c r="I184" s="42">
        <v>0</v>
      </c>
      <c r="K184" s="31" t="s">
        <v>29</v>
      </c>
      <c r="L184" s="40">
        <f t="shared" si="31"/>
        <v>0</v>
      </c>
      <c r="M184" s="30"/>
    </row>
    <row r="185" spans="1:13">
      <c r="A185" s="33"/>
      <c r="B185" s="34">
        <v>4</v>
      </c>
      <c r="C185" s="34" t="s">
        <v>39</v>
      </c>
      <c r="D185" s="41"/>
      <c r="G185" s="38" t="s">
        <v>38</v>
      </c>
      <c r="I185" s="42"/>
      <c r="J185" s="1" t="s">
        <v>10</v>
      </c>
      <c r="K185" s="31"/>
      <c r="L185" s="40"/>
      <c r="M185" s="37"/>
    </row>
    <row r="186" spans="1:13">
      <c r="A186" s="33"/>
      <c r="B186" s="34"/>
      <c r="C186" s="1" t="s">
        <v>40</v>
      </c>
      <c r="D186" s="41"/>
      <c r="E186">
        <v>0</v>
      </c>
      <c r="F186" t="s">
        <v>34</v>
      </c>
      <c r="G186" s="38">
        <v>1</v>
      </c>
      <c r="H186" t="str">
        <f>+H187</f>
        <v>x Rp.</v>
      </c>
      <c r="I186" s="42">
        <v>0</v>
      </c>
      <c r="K186" s="31" t="str">
        <f>+K184</f>
        <v>Rp.</v>
      </c>
      <c r="L186" s="40">
        <f t="shared" ref="L186:L188" si="34">+E186*G186*I186</f>
        <v>0</v>
      </c>
      <c r="M186" s="45"/>
    </row>
    <row r="187" spans="1:13">
      <c r="A187" s="33"/>
      <c r="B187" s="34"/>
      <c r="C187" s="1" t="s">
        <v>41</v>
      </c>
      <c r="D187" s="41"/>
      <c r="E187">
        <v>0</v>
      </c>
      <c r="F187" t="s">
        <v>34</v>
      </c>
      <c r="G187" s="38">
        <v>1</v>
      </c>
      <c r="H187" t="str">
        <f>+H184</f>
        <v>x Rp.</v>
      </c>
      <c r="I187" s="42">
        <v>0</v>
      </c>
      <c r="K187" s="31" t="str">
        <f t="shared" ref="K187:K192" si="35">+K186</f>
        <v>Rp.</v>
      </c>
      <c r="L187" s="40">
        <f t="shared" si="34"/>
        <v>0</v>
      </c>
      <c r="M187" s="39"/>
    </row>
    <row r="188" spans="1:13">
      <c r="A188" s="33"/>
      <c r="B188" s="34"/>
      <c r="C188" s="1" t="s">
        <v>42</v>
      </c>
      <c r="D188" s="41"/>
      <c r="E188">
        <v>0</v>
      </c>
      <c r="F188" t="s">
        <v>34</v>
      </c>
      <c r="G188" s="38">
        <v>1</v>
      </c>
      <c r="H188" t="str">
        <f t="shared" ref="H188" si="36">+H187</f>
        <v>x Rp.</v>
      </c>
      <c r="I188" s="42">
        <v>0</v>
      </c>
      <c r="K188" s="31" t="str">
        <f t="shared" si="35"/>
        <v>Rp.</v>
      </c>
      <c r="L188" s="40">
        <f t="shared" si="34"/>
        <v>0</v>
      </c>
      <c r="M188" s="37"/>
    </row>
    <row r="189" spans="1:13">
      <c r="A189" s="33"/>
      <c r="B189" s="34">
        <v>5</v>
      </c>
      <c r="C189" s="34" t="s">
        <v>43</v>
      </c>
      <c r="D189" s="41"/>
      <c r="G189" s="38" t="s">
        <v>38</v>
      </c>
      <c r="I189" s="42"/>
      <c r="J189" s="1" t="s">
        <v>10</v>
      </c>
      <c r="K189" s="31"/>
      <c r="L189" s="40"/>
      <c r="M189" s="37"/>
    </row>
    <row r="190" spans="1:13">
      <c r="A190" s="33"/>
      <c r="B190" s="34"/>
      <c r="C190" s="1" t="s">
        <v>44</v>
      </c>
      <c r="D190" s="41"/>
      <c r="E190">
        <v>0</v>
      </c>
      <c r="F190" t="str">
        <f>+F191</f>
        <v>hari x</v>
      </c>
      <c r="G190" s="38">
        <v>1</v>
      </c>
      <c r="H190" t="str">
        <f>+H191</f>
        <v>x Rp.</v>
      </c>
      <c r="I190" s="42">
        <v>0</v>
      </c>
      <c r="K190" s="31" t="str">
        <f>+K188</f>
        <v>Rp.</v>
      </c>
      <c r="L190" s="40">
        <f t="shared" ref="L190:L192" si="37">+E190*G190*I190</f>
        <v>0</v>
      </c>
      <c r="M190" s="45"/>
    </row>
    <row r="191" spans="1:13">
      <c r="A191" s="33"/>
      <c r="B191" s="34"/>
      <c r="C191" s="1" t="s">
        <v>45</v>
      </c>
      <c r="D191" s="41"/>
      <c r="E191">
        <v>0</v>
      </c>
      <c r="F191" t="str">
        <f>+F188</f>
        <v>hari x</v>
      </c>
      <c r="G191" s="38">
        <v>1</v>
      </c>
      <c r="H191" t="str">
        <f>+H188</f>
        <v>x Rp.</v>
      </c>
      <c r="I191" s="42">
        <v>0</v>
      </c>
      <c r="K191" s="31" t="str">
        <f t="shared" si="35"/>
        <v>Rp.</v>
      </c>
      <c r="L191" s="40">
        <f t="shared" si="37"/>
        <v>0</v>
      </c>
      <c r="M191" s="39"/>
    </row>
    <row r="192" spans="1:13">
      <c r="A192" s="33"/>
      <c r="B192" s="34">
        <v>6</v>
      </c>
      <c r="C192" s="34" t="s">
        <v>46</v>
      </c>
      <c r="D192" s="41"/>
      <c r="E192">
        <v>0</v>
      </c>
      <c r="F192" t="s">
        <v>47</v>
      </c>
      <c r="G192" s="38">
        <v>1</v>
      </c>
      <c r="H192" t="str">
        <f>+H190</f>
        <v>x Rp.</v>
      </c>
      <c r="I192" s="42">
        <v>0</v>
      </c>
      <c r="K192" s="31" t="str">
        <f t="shared" si="35"/>
        <v>Rp.</v>
      </c>
      <c r="L192" s="40">
        <f t="shared" si="37"/>
        <v>0</v>
      </c>
      <c r="M192" s="37"/>
    </row>
    <row r="193" spans="1:13">
      <c r="A193" s="33"/>
      <c r="B193" s="34"/>
      <c r="D193" s="41"/>
      <c r="G193" s="38"/>
      <c r="I193" s="42"/>
      <c r="K193" s="31"/>
      <c r="L193" s="40"/>
      <c r="M193" s="30"/>
    </row>
    <row r="194" spans="1:13">
      <c r="A194" s="33"/>
      <c r="C194" s="1" t="s">
        <v>10</v>
      </c>
      <c r="D194" t="s">
        <v>10</v>
      </c>
      <c r="K194" s="31"/>
      <c r="L194" s="40"/>
      <c r="M194" s="30"/>
    </row>
    <row r="195" spans="1:13">
      <c r="A195" s="33"/>
      <c r="B195" s="34" t="s">
        <v>48</v>
      </c>
      <c r="E195" t="s">
        <v>10</v>
      </c>
      <c r="K195" s="31" t="s">
        <v>29</v>
      </c>
      <c r="L195" s="46">
        <f>SUM(L174:L192)</f>
        <v>680000</v>
      </c>
      <c r="M195" s="30"/>
    </row>
    <row r="196" spans="1:13">
      <c r="A196" s="33"/>
      <c r="D196" t="s">
        <v>10</v>
      </c>
      <c r="E196" t="s">
        <v>10</v>
      </c>
      <c r="J196" t="s">
        <v>10</v>
      </c>
      <c r="K196" s="31" t="s">
        <v>10</v>
      </c>
      <c r="L196" s="40"/>
      <c r="M196" s="30"/>
    </row>
    <row r="197" spans="1:13">
      <c r="A197" s="33" t="s">
        <v>49</v>
      </c>
      <c r="B197" s="34" t="s">
        <v>50</v>
      </c>
      <c r="K197" s="31"/>
      <c r="L197" s="40"/>
      <c r="M197" s="30"/>
    </row>
    <row r="198" spans="1:13">
      <c r="A198" s="33"/>
      <c r="B198" s="34">
        <v>1</v>
      </c>
      <c r="C198" s="34" t="s">
        <v>51</v>
      </c>
      <c r="K198" s="31"/>
      <c r="L198" s="40"/>
      <c r="M198" s="30"/>
    </row>
    <row r="199" spans="1:13">
      <c r="A199" s="33"/>
      <c r="C199" s="1" t="s">
        <v>52</v>
      </c>
      <c r="K199" s="31" t="s">
        <v>29</v>
      </c>
      <c r="L199" s="40">
        <v>0</v>
      </c>
      <c r="M199" s="30"/>
    </row>
    <row r="200" spans="1:13">
      <c r="A200" s="33"/>
      <c r="C200" s="1" t="s">
        <v>53</v>
      </c>
      <c r="K200" s="31" t="s">
        <v>29</v>
      </c>
      <c r="L200" s="40">
        <v>0</v>
      </c>
      <c r="M200" s="30"/>
    </row>
    <row r="201" spans="1:13">
      <c r="A201" s="33"/>
      <c r="C201" s="1" t="s">
        <v>54</v>
      </c>
      <c r="K201" s="31" t="s">
        <v>29</v>
      </c>
      <c r="L201" s="40">
        <v>0</v>
      </c>
      <c r="M201" s="30"/>
    </row>
    <row r="202" spans="1:13">
      <c r="A202" s="33"/>
      <c r="K202" s="31" t="s">
        <v>29</v>
      </c>
      <c r="L202" s="40">
        <v>0</v>
      </c>
      <c r="M202" s="30"/>
    </row>
    <row r="203" spans="1:13">
      <c r="A203" s="33"/>
      <c r="B203" s="34">
        <v>2</v>
      </c>
      <c r="C203" s="34" t="s">
        <v>55</v>
      </c>
      <c r="K203" s="31"/>
      <c r="L203" s="40"/>
      <c r="M203" s="30"/>
    </row>
    <row r="204" spans="1:13">
      <c r="A204" s="33"/>
      <c r="C204" s="1" t="s">
        <v>56</v>
      </c>
      <c r="D204" t="s">
        <v>57</v>
      </c>
      <c r="E204" t="s">
        <v>58</v>
      </c>
      <c r="F204" t="s">
        <v>34</v>
      </c>
      <c r="H204" t="s">
        <v>59</v>
      </c>
      <c r="I204" t="s">
        <v>60</v>
      </c>
      <c r="K204" s="31" t="s">
        <v>29</v>
      </c>
      <c r="L204" s="40">
        <v>0</v>
      </c>
      <c r="M204" s="30"/>
    </row>
    <row r="205" spans="1:13">
      <c r="A205" s="33"/>
      <c r="C205" s="1" t="s">
        <v>61</v>
      </c>
      <c r="K205" s="31"/>
      <c r="L205" s="40"/>
      <c r="M205" s="30"/>
    </row>
    <row r="206" spans="1:13">
      <c r="A206" s="33"/>
      <c r="B206" s="34">
        <v>3</v>
      </c>
      <c r="C206" s="1" t="s">
        <v>62</v>
      </c>
      <c r="K206" s="31"/>
      <c r="L206" s="40"/>
      <c r="M206" s="30"/>
    </row>
    <row r="207" spans="1:13">
      <c r="A207" s="33"/>
      <c r="B207" s="34"/>
      <c r="C207" s="1" t="s">
        <v>40</v>
      </c>
      <c r="E207">
        <v>0</v>
      </c>
      <c r="F207" t="str">
        <f>+F190</f>
        <v>hari x</v>
      </c>
      <c r="G207" s="38">
        <v>1</v>
      </c>
      <c r="H207">
        <f>+H208</f>
        <v>0</v>
      </c>
      <c r="I207" s="42">
        <v>0</v>
      </c>
      <c r="K207" s="31" t="str">
        <f>+K204</f>
        <v>Rp.</v>
      </c>
      <c r="L207" s="40">
        <f t="shared" ref="L207:L209" si="38">+E207*G207*I207</f>
        <v>0</v>
      </c>
      <c r="M207" s="30"/>
    </row>
    <row r="208" spans="1:13">
      <c r="A208" s="33"/>
      <c r="B208" s="34"/>
      <c r="C208" s="1" t="s">
        <v>41</v>
      </c>
      <c r="E208">
        <v>0</v>
      </c>
      <c r="F208" t="str">
        <f>+F207</f>
        <v>hari x</v>
      </c>
      <c r="G208" s="38">
        <v>1</v>
      </c>
      <c r="H208">
        <f>+H205</f>
        <v>0</v>
      </c>
      <c r="I208" s="42">
        <v>0</v>
      </c>
      <c r="K208" s="31" t="str">
        <f>+K207</f>
        <v>Rp.</v>
      </c>
      <c r="L208" s="40">
        <f t="shared" si="38"/>
        <v>0</v>
      </c>
      <c r="M208" s="30"/>
    </row>
    <row r="209" spans="1:13">
      <c r="A209" s="33"/>
      <c r="B209" s="34"/>
      <c r="C209" s="1" t="s">
        <v>42</v>
      </c>
      <c r="E209">
        <v>0</v>
      </c>
      <c r="F209" t="str">
        <f t="shared" ref="F209" si="39">+F208</f>
        <v>hari x</v>
      </c>
      <c r="G209" s="38">
        <v>0.5</v>
      </c>
      <c r="H209">
        <f t="shared" ref="H209" si="40">+H208</f>
        <v>0</v>
      </c>
      <c r="I209" s="42">
        <v>0</v>
      </c>
      <c r="K209" s="31" t="str">
        <f t="shared" ref="K209" si="41">+K208</f>
        <v>Rp.</v>
      </c>
      <c r="L209" s="40">
        <f t="shared" si="38"/>
        <v>0</v>
      </c>
      <c r="M209" s="30"/>
    </row>
    <row r="210" spans="1:13">
      <c r="A210" s="33"/>
      <c r="B210">
        <v>4</v>
      </c>
      <c r="C210" s="1" t="s">
        <v>63</v>
      </c>
      <c r="G210" s="41"/>
      <c r="I210" s="1" t="s">
        <v>10</v>
      </c>
      <c r="K210" s="31"/>
      <c r="L210" s="40"/>
      <c r="M210" s="30"/>
    </row>
    <row r="211" spans="1:13">
      <c r="A211" s="33"/>
      <c r="K211" s="31"/>
      <c r="L211" s="40"/>
      <c r="M211" s="30"/>
    </row>
    <row r="212" spans="1:13">
      <c r="A212" s="33"/>
      <c r="B212" s="34" t="s">
        <v>64</v>
      </c>
      <c r="C212" s="34"/>
      <c r="K212" s="31" t="s">
        <v>29</v>
      </c>
      <c r="L212" s="46">
        <f>SUM(L199:L211)</f>
        <v>0</v>
      </c>
      <c r="M212" s="30"/>
    </row>
    <row r="213" spans="1:13">
      <c r="A213" s="33"/>
      <c r="K213" s="31"/>
      <c r="L213" s="40"/>
      <c r="M213" s="30"/>
    </row>
    <row r="214" ht="15.15" spans="1:13">
      <c r="A214" s="33" t="s">
        <v>65</v>
      </c>
      <c r="B214" s="34" t="s">
        <v>66</v>
      </c>
      <c r="C214" s="34"/>
      <c r="K214" s="31" t="s">
        <v>29</v>
      </c>
      <c r="L214" s="46">
        <f>L212+L195</f>
        <v>680000</v>
      </c>
      <c r="M214" s="47"/>
    </row>
    <row r="215" spans="1:13">
      <c r="A215" s="30"/>
      <c r="G215" t="s">
        <v>10</v>
      </c>
      <c r="K215" s="48"/>
      <c r="L215" s="49"/>
      <c r="M215" s="47"/>
    </row>
    <row r="216" spans="1:13">
      <c r="A216" s="50"/>
      <c r="B216" s="51"/>
      <c r="C216" s="52"/>
      <c r="D216" s="52"/>
      <c r="E216" s="52"/>
      <c r="F216" s="53"/>
      <c r="G216" s="53"/>
      <c r="H216" s="53"/>
      <c r="I216" s="53"/>
      <c r="J216" s="54"/>
      <c r="K216" s="55"/>
      <c r="L216" s="54"/>
      <c r="M216" s="56"/>
    </row>
    <row r="217" spans="1:13">
      <c r="B217" t="s">
        <v>10</v>
      </c>
      <c r="K217" s="57"/>
      <c r="L217" s="57"/>
      <c r="M217" s="57"/>
    </row>
    <row r="218" spans="1:13">
      <c r="A218" t="s">
        <v>67</v>
      </c>
      <c r="H218" t="s">
        <v>68</v>
      </c>
    </row>
    <row r="219" spans="1:13">
      <c r="B219">
        <v>1</v>
      </c>
      <c r="C219" s="34" t="s">
        <v>29</v>
      </c>
      <c r="D219" s="34"/>
      <c r="E219" s="58">
        <f>+L214</f>
        <v>680000</v>
      </c>
      <c r="H219">
        <v>1</v>
      </c>
      <c r="I219" s="34" t="s">
        <v>29</v>
      </c>
      <c r="L219" s="59">
        <f>+L214</f>
        <v>680000</v>
      </c>
    </row>
    <row r="220" spans="1:13">
      <c r="A220" s="60"/>
      <c r="C220" s="34"/>
      <c r="I220" s="34"/>
    </row>
    <row r="221" spans="1:13">
      <c r="G221" t="s">
        <v>10</v>
      </c>
    </row>
    <row r="222" spans="1:13">
      <c r="B222" s="61" t="s">
        <v>69</v>
      </c>
      <c r="C222" s="61"/>
      <c r="H222" s="62" t="s">
        <v>70</v>
      </c>
      <c r="I222" s="62"/>
      <c r="J222" s="62"/>
      <c r="K222" s="62"/>
      <c r="L222" s="62"/>
    </row>
    <row r="223" spans="1:13">
      <c r="H223" s="63"/>
      <c r="I223" s="63"/>
      <c r="J223" s="63"/>
      <c r="K223" s="63"/>
      <c r="L223" s="63"/>
    </row>
    <row r="224" spans="1:13">
      <c r="H224" s="63"/>
      <c r="I224" s="63"/>
      <c r="J224" s="63"/>
      <c r="K224" s="63"/>
      <c r="L224" s="63"/>
    </row>
    <row r="225" spans="2:12">
      <c r="H225" s="63"/>
      <c r="I225" s="63"/>
      <c r="J225" s="63"/>
      <c r="K225" s="63"/>
      <c r="L225" s="63"/>
    </row>
    <row r="227" spans="2:12">
      <c r="H227" s="62"/>
      <c r="I227" s="62"/>
      <c r="J227" s="62"/>
      <c r="K227" s="62"/>
      <c r="L227" s="62"/>
    </row>
    <row r="228" spans="2:12">
      <c r="B228" s="61" t="s">
        <v>71</v>
      </c>
      <c r="C228" s="61"/>
      <c r="H228" s="62" t="str">
        <f>E166</f>
        <v>AGUSTINUS</v>
      </c>
      <c r="I228" s="62"/>
      <c r="J228" s="62"/>
      <c r="K228" s="62"/>
      <c r="L228" s="62"/>
    </row>
  </sheetData>
  <mergeCells count="42">
    <mergeCell ref="A7:M7"/>
    <mergeCell ref="G10:H10"/>
    <mergeCell ref="H14:I14"/>
    <mergeCell ref="E15:I15"/>
    <mergeCell ref="B18:J18"/>
    <mergeCell ref="K18:L18"/>
    <mergeCell ref="B65:E65"/>
    <mergeCell ref="K66:M66"/>
    <mergeCell ref="B71:C71"/>
    <mergeCell ref="H71:L71"/>
    <mergeCell ref="B75:C75"/>
    <mergeCell ref="H75:L75"/>
    <mergeCell ref="A82:M82"/>
    <mergeCell ref="G85:H85"/>
    <mergeCell ref="H89:I89"/>
    <mergeCell ref="E90:I90"/>
    <mergeCell ref="B93:J93"/>
    <mergeCell ref="K93:L93"/>
    <mergeCell ref="B140:E140"/>
    <mergeCell ref="K141:M141"/>
    <mergeCell ref="B146:C146"/>
    <mergeCell ref="H146:L146"/>
    <mergeCell ref="B151:C151"/>
    <mergeCell ref="H151:L151"/>
    <mergeCell ref="A158:M158"/>
    <mergeCell ref="G161:H161"/>
    <mergeCell ref="H165:I165"/>
    <mergeCell ref="E166:I166"/>
    <mergeCell ref="B169:J169"/>
    <mergeCell ref="K169:L169"/>
    <mergeCell ref="B216:E216"/>
    <mergeCell ref="K217:M217"/>
    <mergeCell ref="B222:C222"/>
    <mergeCell ref="H222:L222"/>
    <mergeCell ref="H227:L227"/>
    <mergeCell ref="B228:C228"/>
    <mergeCell ref="H228:L228"/>
    <mergeCell ref="C76:E77"/>
    <mergeCell ref="C1:E2"/>
    <mergeCell ref="E12:M13"/>
    <mergeCell ref="E87:M88"/>
    <mergeCell ref="E163:M164"/>
  </mergeCells>
  <pageMargins left="0.118110236220472" right="0.118110236220472" top="0.196850393700787" bottom="0.118110236220472" header="0.196850393700787" footer="0.118110236220472"/>
  <pageSetup paperSize="9" scale="70" orientation="portrait"/>
  <headerFooter/>
  <rowBreaks count="2" manualBreakCount="2">
    <brk id="76" max="16383" man="1"/>
    <brk id="15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Muh Ardi</vt:lpstr>
      <vt:lpstr>Anugrah</vt:lpstr>
      <vt:lpstr>Adlim</vt:lpstr>
      <vt:lpstr>Akram</vt:lpstr>
      <vt:lpstr>Operator 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Anugrah Nuge</cp:lastModifiedBy>
  <dcterms:created xsi:type="dcterms:W3CDTF">2019-07-16T00:21:00Z</dcterms:created>
  <cp:lastPrinted>2026-09-04T06:35:00Z</cp:lastPrinted>
  <dcterms:modified xsi:type="dcterms:W3CDTF">2026-10-05T08:10:28Z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600F7D1F64B9441BBFC004818F8E5FD4_13</vt:lpwstr>
  </property>
</Properties>
</file>